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pus_100" sheetId="2" state="visible" r:id="rId2"/>
    <sheet xmlns:r="http://schemas.openxmlformats.org/officeDocument/2006/relationships" name="Depth_20" sheetId="3" state="visible" r:id="rId3"/>
    <sheet xmlns:r="http://schemas.openxmlformats.org/officeDocument/2006/relationships" name="Ambiguity_Queue" sheetId="4" state="visible" r:id="rId4"/>
    <sheet xmlns:r="http://schemas.openxmlformats.org/officeDocument/2006/relationships" name="Screening_150" sheetId="5" state="visible" r:id="rId5"/>
    <sheet xmlns:r="http://schemas.openxmlformats.org/officeDocument/2006/relationships" name="Codebook" sheetId="6" state="visible" r:id="rId6"/>
  </sheets>
  <definedNames>
    <definedName name="_xlnm._FilterDatabase" localSheetId="1" hidden="1">'Corpus_100'!$A$1:$AH$101</definedName>
    <definedName name="_xlnm._FilterDatabase" localSheetId="2" hidden="1">'Depth_20'!$A$1:$AH$21</definedName>
    <definedName name="_xlnm._FilterDatabase" localSheetId="3" hidden="1">'Ambiguity_Queue'!$A$1:$AH$9</definedName>
    <definedName name="_xlnm._FilterDatabase" localSheetId="4" hidden="1">'Screening_150'!$A$1:$G$151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1">
      <alignment vertical="top" wrapText="1"/>
    </xf>
    <xf numFmtId="0" fontId="2" fillId="2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Corpus100" displayName="Corpus100" ref="A1:AH101" headerRowCount="1">
  <autoFilter ref="A1:AH101"/>
  <tableColumns count="34">
    <tableColumn id="1" name="corpus_id"/>
    <tableColumn id="2" name="cohort"/>
    <tableColumn id="3" name="prior_case_id"/>
    <tableColumn id="4" name="source_stratum"/>
    <tableColumn id="5" name="provenance_type"/>
    <tableColumn id="6" name="source_title"/>
    <tableColumn id="7" name="source_url"/>
    <tableColumn id="8" name="source_locator"/>
    <tableColumn id="9" name="accessed_date"/>
    <tableColumn id="10" name="original_text"/>
    <tableColumn id="11" name="source_context"/>
    <tableColumn id="12" name="screen_status"/>
    <tableColumn id="13" name="screen_reason"/>
    <tableColumn id="14" name="duplicate_family"/>
    <tableColumn id="15" name="trigger_class"/>
    <tableColumn id="16" name="temporal_class"/>
    <tableColumn id="17" name="control_class"/>
    <tableColumn id="18" name="memory_class"/>
    <tableColumn id="19" name="action_cardinality"/>
    <tableColumn id="20" name="lifetime"/>
    <tableColumn id="21" name="rb_preliminary"/>
    <tableColumn id="22" name="rb_coder_1"/>
    <tableColumn id="23" name="rb_coder_2"/>
    <tableColumn id="24" name="rb_adjudicated"/>
    <tableColumn id="25" name="stage_a"/>
    <tableColumn id="26" name="depth_status"/>
    <tableColumn id="27" name="depth_rank"/>
    <tableColumn id="28" name="depth_reason"/>
    <tableColumn id="29" name="ambiguity_for_user"/>
    <tableColumn id="30" name="catalog_note"/>
    <tableColumn id="31" name="text_form"/>
    <tableColumn id="32" name="source_verification"/>
    <tableColumn id="33" name="notes"/>
    <tableColumn id="34" name="topic_family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Depth20" displayName="Depth20" ref="A1:AH21" headerRowCount="1">
  <autoFilter ref="A1:AH21"/>
  <tableColumns count="34">
    <tableColumn id="1" name="corpus_id"/>
    <tableColumn id="2" name="cohort"/>
    <tableColumn id="3" name="prior_case_id"/>
    <tableColumn id="4" name="source_stratum"/>
    <tableColumn id="5" name="provenance_type"/>
    <tableColumn id="6" name="source_title"/>
    <tableColumn id="7" name="source_url"/>
    <tableColumn id="8" name="source_locator"/>
    <tableColumn id="9" name="accessed_date"/>
    <tableColumn id="10" name="original_text"/>
    <tableColumn id="11" name="source_context"/>
    <tableColumn id="12" name="screen_status"/>
    <tableColumn id="13" name="screen_reason"/>
    <tableColumn id="14" name="duplicate_family"/>
    <tableColumn id="15" name="trigger_class"/>
    <tableColumn id="16" name="temporal_class"/>
    <tableColumn id="17" name="control_class"/>
    <tableColumn id="18" name="memory_class"/>
    <tableColumn id="19" name="action_cardinality"/>
    <tableColumn id="20" name="lifetime"/>
    <tableColumn id="21" name="rb_preliminary"/>
    <tableColumn id="22" name="rb_coder_1"/>
    <tableColumn id="23" name="rb_coder_2"/>
    <tableColumn id="24" name="rb_adjudicated"/>
    <tableColumn id="25" name="stage_a"/>
    <tableColumn id="26" name="depth_status"/>
    <tableColumn id="27" name="depth_rank"/>
    <tableColumn id="28" name="depth_reason"/>
    <tableColumn id="29" name="ambiguity_for_user"/>
    <tableColumn id="30" name="catalog_note"/>
    <tableColumn id="31" name="text_form"/>
    <tableColumn id="32" name="source_verification"/>
    <tableColumn id="33" name="notes"/>
    <tableColumn id="34" name="topic_family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AmbiguityQueue" displayName="AmbiguityQueue" ref="A1:AH9" headerRowCount="1">
  <autoFilter ref="A1:AH9"/>
  <tableColumns count="34">
    <tableColumn id="1" name="corpus_id"/>
    <tableColumn id="2" name="cohort"/>
    <tableColumn id="3" name="prior_case_id"/>
    <tableColumn id="4" name="source_stratum"/>
    <tableColumn id="5" name="provenance_type"/>
    <tableColumn id="6" name="source_title"/>
    <tableColumn id="7" name="source_url"/>
    <tableColumn id="8" name="source_locator"/>
    <tableColumn id="9" name="accessed_date"/>
    <tableColumn id="10" name="original_text"/>
    <tableColumn id="11" name="source_context"/>
    <tableColumn id="12" name="screen_status"/>
    <tableColumn id="13" name="screen_reason"/>
    <tableColumn id="14" name="duplicate_family"/>
    <tableColumn id="15" name="trigger_class"/>
    <tableColumn id="16" name="temporal_class"/>
    <tableColumn id="17" name="control_class"/>
    <tableColumn id="18" name="memory_class"/>
    <tableColumn id="19" name="action_cardinality"/>
    <tableColumn id="20" name="lifetime"/>
    <tableColumn id="21" name="rb_preliminary"/>
    <tableColumn id="22" name="rb_coder_1"/>
    <tableColumn id="23" name="rb_coder_2"/>
    <tableColumn id="24" name="rb_adjudicated"/>
    <tableColumn id="25" name="stage_a"/>
    <tableColumn id="26" name="depth_status"/>
    <tableColumn id="27" name="depth_rank"/>
    <tableColumn id="28" name="depth_reason"/>
    <tableColumn id="29" name="ambiguity_for_user"/>
    <tableColumn id="30" name="catalog_note"/>
    <tableColumn id="31" name="text_form"/>
    <tableColumn id="32" name="source_verification"/>
    <tableColumn id="33" name="notes"/>
    <tableColumn id="34" name="topic_family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Screening150" displayName="Screening150" ref="A1:G151" headerRowCount="1">
  <autoFilter ref="A1:G151"/>
  <tableColumns count="7">
    <tableColumn id="1" name="candidate_id"/>
    <tableColumn id="2" name="final_corpus_id"/>
    <tableColumn id="3" name="decision"/>
    <tableColumn id="4" name="reason"/>
    <tableColumn id="5" name="source_url"/>
    <tableColumn id="6" name="source_locator"/>
    <tableColumn id="7" name="original_text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github.com/home-assistant/core/blob/dev/homeassistant/components/automation/blueprints/motion_light.yaml" TargetMode="External" Id="rId1"/><Relationship Type="http://schemas.openxmlformats.org/officeDocument/2006/relationships/hyperlink" Target="https://arxiv.org/html/2102.01468v2" TargetMode="External" Id="rId2"/><Relationship Type="http://schemas.openxmlformats.org/officeDocument/2006/relationships/hyperlink" Target="https://arxiv.org/html/2102.01468v2" TargetMode="External" Id="rId3"/><Relationship Type="http://schemas.openxmlformats.org/officeDocument/2006/relationships/hyperlink" Target="https://community.home-assistant.io/t/how-to-set-notifications-when-door-is-left-open/520305" TargetMode="External" Id="rId4"/><Relationship Type="http://schemas.openxmlformats.org/officeDocument/2006/relationships/hyperlink" Target="https://community.home-assistant.io/t/how-to-automate-open-door-notifications/783900" TargetMode="External" Id="rId5"/><Relationship Type="http://schemas.openxmlformats.org/officeDocument/2006/relationships/hyperlink" Target="https://homes.cs.washington.edu/~jessejm/data/ZhangICSE2019.pdf" TargetMode="External" Id="rId6"/><Relationship Type="http://schemas.openxmlformats.org/officeDocument/2006/relationships/hyperlink" Target="https://homes.cs.washington.edu/~jessejm/data/ZhangICSE2019.pdf" TargetMode="External" Id="rId7"/><Relationship Type="http://schemas.openxmlformats.org/officeDocument/2006/relationships/hyperlink" Target="https://www.blaseur.com/papers/TriggerActionCHI14.pdf" TargetMode="External" Id="rId8"/><Relationship Type="http://schemas.openxmlformats.org/officeDocument/2006/relationships/hyperlink" Target="https://www.blaseur.com/papers/TriggerActionCHI14.pdf" TargetMode="External" Id="rId9"/><Relationship Type="http://schemas.openxmlformats.org/officeDocument/2006/relationships/hyperlink" Target="https://homes.cs.washington.edu/~mcakmak/pdfs/2015/huang2015ubicomp.pdf" TargetMode="External" Id="rId10"/><Relationship Type="http://schemas.openxmlformats.org/officeDocument/2006/relationships/hyperlink" Target="https://homes.cs.washington.edu/~mcakmak/pdfs/2015/huang2015ubicomp.pdf" TargetMode="External" Id="rId11"/><Relationship Type="http://schemas.openxmlformats.org/officeDocument/2006/relationships/hyperlink" Target="https://par.nsf.gov/biblio/10106413" TargetMode="External" Id="rId12"/><Relationship Type="http://schemas.openxmlformats.org/officeDocument/2006/relationships/hyperlink" Target="https://github.com/zlfben/autotap/blob/master/data/Data%20-%20User%20Study%201.xlsx" TargetMode="External" Id="rId13"/><Relationship Type="http://schemas.openxmlformats.org/officeDocument/2006/relationships/hyperlink" Target="https://github.com/zlfben/autotap/blob/master/data/Data%20-%20User%20Study%201.xlsx" TargetMode="External" Id="rId14"/><Relationship Type="http://schemas.openxmlformats.org/officeDocument/2006/relationships/hyperlink" Target="https://github.com/zlfben/autotap/blob/master/data/Data%20-%20User%20Study%201.xlsx" TargetMode="External" Id="rId15"/><Relationship Type="http://schemas.openxmlformats.org/officeDocument/2006/relationships/hyperlink" Target="https://github.com/zlfben/autotap/blob/master/data/Data%20-%20User%20Study%201.xlsx" TargetMode="External" Id="rId16"/><Relationship Type="http://schemas.openxmlformats.org/officeDocument/2006/relationships/hyperlink" Target="https://github.com/zlfben/autotap/blob/master/data/Data%20-%20User%20Study%201.xlsx" TargetMode="External" Id="rId17"/><Relationship Type="http://schemas.openxmlformats.org/officeDocument/2006/relationships/hyperlink" Target="https://github.com/zlfben/autotap/blob/master/data/Data%20-%20User%20Study%201.xlsx" TargetMode="External" Id="rId18"/><Relationship Type="http://schemas.openxmlformats.org/officeDocument/2006/relationships/hyperlink" Target="https://github.com/zlfben/autotap/blob/master/data/Data%20-%20User%20Study%201.xlsx" TargetMode="External" Id="rId19"/><Relationship Type="http://schemas.openxmlformats.org/officeDocument/2006/relationships/hyperlink" Target="https://github.com/zlfben/autotap/blob/master/data/Data%20-%20User%20Study%201.xlsx" TargetMode="External" Id="rId20"/><Relationship Type="http://schemas.openxmlformats.org/officeDocument/2006/relationships/hyperlink" Target="https://github.com/zlfben/autotap/blob/master/data/Data%20-%20User%20Study%201.xlsx" TargetMode="External" Id="rId21"/><Relationship Type="http://schemas.openxmlformats.org/officeDocument/2006/relationships/hyperlink" Target="https://github.com/zlfben/autotap/blob/master/data/Data%20-%20User%20Study%201.xlsx" TargetMode="External" Id="rId22"/><Relationship Type="http://schemas.openxmlformats.org/officeDocument/2006/relationships/hyperlink" Target="https://github.com/zlfben/autotap/blob/master/data/Data%20-%20User%20Study%201.xlsx" TargetMode="External" Id="rId23"/><Relationship Type="http://schemas.openxmlformats.org/officeDocument/2006/relationships/hyperlink" Target="https://github.com/zlfben/autotap/blob/master/data/Data%20-%20User%20Study%201.xlsx" TargetMode="External" Id="rId24"/><Relationship Type="http://schemas.openxmlformats.org/officeDocument/2006/relationships/hyperlink" Target="https://github.com/zlfben/autotap/blob/master/data/Data%20-%20User%20Study%201.xlsx" TargetMode="External" Id="rId25"/><Relationship Type="http://schemas.openxmlformats.org/officeDocument/2006/relationships/hyperlink" Target="https://github.com/zlfben/autotap/blob/master/data/Data%20-%20User%20Study%201.xlsx" TargetMode="External" Id="rId26"/><Relationship Type="http://schemas.openxmlformats.org/officeDocument/2006/relationships/hyperlink" Target="https://github.com/zlfben/autotap/blob/master/data/Data%20-%20User%20Study%201.xlsx" TargetMode="External" Id="rId27"/><Relationship Type="http://schemas.openxmlformats.org/officeDocument/2006/relationships/hyperlink" Target="https://github.com/zlfben/autotap/blob/master/data/Data%20-%20User%20Study%201.xlsx" TargetMode="External" Id="rId28"/><Relationship Type="http://schemas.openxmlformats.org/officeDocument/2006/relationships/hyperlink" Target="https://github.com/zlfben/autotap/blob/master/data/Data%20-%20User%20Study%201.xlsx" TargetMode="External" Id="rId29"/><Relationship Type="http://schemas.openxmlformats.org/officeDocument/2006/relationships/hyperlink" Target="https://github.com/zlfben/autotap/blob/master/data/Data%20-%20User%20Study%201.xlsx" TargetMode="External" Id="rId30"/><Relationship Type="http://schemas.openxmlformats.org/officeDocument/2006/relationships/hyperlink" Target="https://github.com/zlfben/autotap/blob/master/data/Data%20-%20User%20Study%201.xlsx" TargetMode="External" Id="rId31"/><Relationship Type="http://schemas.openxmlformats.org/officeDocument/2006/relationships/hyperlink" Target="https://github.com/zlfben/autotap/blob/master/data/Data%20-%20User%20Study%201.xlsx" TargetMode="External" Id="rId32"/><Relationship Type="http://schemas.openxmlformats.org/officeDocument/2006/relationships/hyperlink" Target="https://github.com/zlfben/autotap/blob/master/data/Data%20-%20User%20Study%201.xlsx" TargetMode="External" Id="rId33"/><Relationship Type="http://schemas.openxmlformats.org/officeDocument/2006/relationships/hyperlink" Target="https://github.com/zlfben/autotap/blob/master/data/Data%20-%20User%20Study%201.xlsx" TargetMode="External" Id="rId34"/><Relationship Type="http://schemas.openxmlformats.org/officeDocument/2006/relationships/hyperlink" Target="https://github.com/zlfben/autotap/blob/master/data/Data%20-%20User%20Study%201.xlsx" TargetMode="External" Id="rId35"/><Relationship Type="http://schemas.openxmlformats.org/officeDocument/2006/relationships/hyperlink" Target="https://www.blaseur.com/papers/TriggerActionCHI14.pdf" TargetMode="External" Id="rId36"/><Relationship Type="http://schemas.openxmlformats.org/officeDocument/2006/relationships/hyperlink" Target="https://www.blaseur.com/papers/TriggerActionCHI14.pdf" TargetMode="External" Id="rId37"/><Relationship Type="http://schemas.openxmlformats.org/officeDocument/2006/relationships/hyperlink" Target="https://www.blaseur.com/papers/TriggerActionCHI14.pdf" TargetMode="External" Id="rId38"/><Relationship Type="http://schemas.openxmlformats.org/officeDocument/2006/relationships/hyperlink" Target="https://www.blaseur.com/papers/TriggerActionCHI14.pdf" TargetMode="External" Id="rId39"/><Relationship Type="http://schemas.openxmlformats.org/officeDocument/2006/relationships/hyperlink" Target="https://www.blaseur.com/papers/TriggerActionCHI14.pdf" TargetMode="External" Id="rId40"/><Relationship Type="http://schemas.openxmlformats.org/officeDocument/2006/relationships/hyperlink" Target="https://www.blaseur.com/papers/TriggerActionCHI14.pdf" TargetMode="External" Id="rId41"/><Relationship Type="http://schemas.openxmlformats.org/officeDocument/2006/relationships/hyperlink" Target="https://www.blaseur.com/papers/TriggerActionCHI14.pdf" TargetMode="External" Id="rId42"/><Relationship Type="http://schemas.openxmlformats.org/officeDocument/2006/relationships/hyperlink" Target="https://www.blaseur.com/papers/TriggerActionCHI14.pdf" TargetMode="External" Id="rId43"/><Relationship Type="http://schemas.openxmlformats.org/officeDocument/2006/relationships/hyperlink" Target="https://www.blaseur.com/papers/TriggerActionCHI14.pdf" TargetMode="External" Id="rId44"/><Relationship Type="http://schemas.openxmlformats.org/officeDocument/2006/relationships/hyperlink" Target="https://www.blaseur.com/papers/TriggerActionCHI14.pdf" TargetMode="External" Id="rId45"/><Relationship Type="http://schemas.openxmlformats.org/officeDocument/2006/relationships/hyperlink" Target="https://hcrlab.cs.washington.edu/assets/pdfs/2015/huang2015ubicomp.pdf" TargetMode="External" Id="rId46"/><Relationship Type="http://schemas.openxmlformats.org/officeDocument/2006/relationships/hyperlink" Target="https://hcrlab.cs.washington.edu/assets/pdfs/2015/huang2015ubicomp.pdf" TargetMode="External" Id="rId47"/><Relationship Type="http://schemas.openxmlformats.org/officeDocument/2006/relationships/hyperlink" Target="https://hcrlab.cs.washington.edu/assets/pdfs/2015/huang2015ubicomp.pdf" TargetMode="External" Id="rId48"/><Relationship Type="http://schemas.openxmlformats.org/officeDocument/2006/relationships/hyperlink" Target="https://hcrlab.cs.washington.edu/assets/pdfs/2015/huang2015ubicomp.pdf" TargetMode="External" Id="rId49"/><Relationship Type="http://schemas.openxmlformats.org/officeDocument/2006/relationships/hyperlink" Target="https://hcrlab.cs.washington.edu/assets/pdfs/2015/huang2015ubicomp.pdf" TargetMode="External" Id="rId50"/><Relationship Type="http://schemas.openxmlformats.org/officeDocument/2006/relationships/hyperlink" Target="https://hcrlab.cs.washington.edu/assets/pdfs/2015/huang2015ubicomp.pdf" TargetMode="External" Id="rId51"/><Relationship Type="http://schemas.openxmlformats.org/officeDocument/2006/relationships/hyperlink" Target="https://hcrlab.cs.washington.edu/assets/pdfs/2015/huang2015ubicomp.pdf" TargetMode="External" Id="rId52"/><Relationship Type="http://schemas.openxmlformats.org/officeDocument/2006/relationships/hyperlink" Target="https://hcrlab.cs.washington.edu/assets/pdfs/2015/huang2015ubicomp.pdf" TargetMode="External" Id="rId53"/><Relationship Type="http://schemas.openxmlformats.org/officeDocument/2006/relationships/hyperlink" Target="https://developers.home.google.com/automations/example-scripts" TargetMode="External" Id="rId54"/><Relationship Type="http://schemas.openxmlformats.org/officeDocument/2006/relationships/hyperlink" Target="https://developers.home.google.com/automations/example-scripts" TargetMode="External" Id="rId55"/><Relationship Type="http://schemas.openxmlformats.org/officeDocument/2006/relationships/hyperlink" Target="https://developers.home.google.com/automations/example-scripts" TargetMode="External" Id="rId56"/><Relationship Type="http://schemas.openxmlformats.org/officeDocument/2006/relationships/hyperlink" Target="https://developers.home.google.com/automations/example-scripts" TargetMode="External" Id="rId57"/><Relationship Type="http://schemas.openxmlformats.org/officeDocument/2006/relationships/hyperlink" Target="https://developers.home.google.com/automations/example-scripts" TargetMode="External" Id="rId58"/><Relationship Type="http://schemas.openxmlformats.org/officeDocument/2006/relationships/hyperlink" Target="https://developers.home.google.com/automations/example-scripts" TargetMode="External" Id="rId59"/><Relationship Type="http://schemas.openxmlformats.org/officeDocument/2006/relationships/hyperlink" Target="https://developers.home.google.com/automations/example-scripts" TargetMode="External" Id="rId60"/><Relationship Type="http://schemas.openxmlformats.org/officeDocument/2006/relationships/hyperlink" Target="https://developers.home.google.com/automations/example-scripts" TargetMode="External" Id="rId61"/><Relationship Type="http://schemas.openxmlformats.org/officeDocument/2006/relationships/hyperlink" Target="https://developers.home.google.com/automations/example-scripts" TargetMode="External" Id="rId62"/><Relationship Type="http://schemas.openxmlformats.org/officeDocument/2006/relationships/hyperlink" Target="https://developers.home.google.com/automations/example-scripts" TargetMode="External" Id="rId63"/><Relationship Type="http://schemas.openxmlformats.org/officeDocument/2006/relationships/hyperlink" Target="https://developers.home.google.com/automations/example-scripts" TargetMode="External" Id="rId64"/><Relationship Type="http://schemas.openxmlformats.org/officeDocument/2006/relationships/hyperlink" Target="https://developers.home.google.com/automations/example-scripts" TargetMode="External" Id="rId65"/><Relationship Type="http://schemas.openxmlformats.org/officeDocument/2006/relationships/hyperlink" Target="https://developers.home.google.com/automations/example-scripts" TargetMode="External" Id="rId66"/><Relationship Type="http://schemas.openxmlformats.org/officeDocument/2006/relationships/hyperlink" Target="https://developers.home.google.com/automations/example-scripts" TargetMode="External" Id="rId67"/><Relationship Type="http://schemas.openxmlformats.org/officeDocument/2006/relationships/hyperlink" Target="https://developers.home.google.com/automations/example-scripts" TargetMode="External" Id="rId68"/><Relationship Type="http://schemas.openxmlformats.org/officeDocument/2006/relationships/hyperlink" Target="https://developers.home.google.com/automations/example-scripts" TargetMode="External" Id="rId69"/><Relationship Type="http://schemas.openxmlformats.org/officeDocument/2006/relationships/hyperlink" Target="https://developers.home.google.com/automations/example-scripts" TargetMode="External" Id="rId70"/><Relationship Type="http://schemas.openxmlformats.org/officeDocument/2006/relationships/hyperlink" Target="https://developers.home.google.com/automations/example-scripts" TargetMode="External" Id="rId71"/><Relationship Type="http://schemas.openxmlformats.org/officeDocument/2006/relationships/hyperlink" Target="https://developers.home.google.com/automations/example-scripts" TargetMode="External" Id="rId72"/><Relationship Type="http://schemas.openxmlformats.org/officeDocument/2006/relationships/hyperlink" Target="https://developers.home.google.com/automations/example-scripts" TargetMode="External" Id="rId73"/><Relationship Type="http://schemas.openxmlformats.org/officeDocument/2006/relationships/hyperlink" Target="https://developers.home.google.com/automations/example-scripts" TargetMode="External" Id="rId74"/><Relationship Type="http://schemas.openxmlformats.org/officeDocument/2006/relationships/hyperlink" Target="https://developers.home.google.com/automations/example-scripts" TargetMode="External" Id="rId75"/><Relationship Type="http://schemas.openxmlformats.org/officeDocument/2006/relationships/hyperlink" Target="https://github.com/home-assistant/core/blob/dev/homeassistant/components/automation/blueprints/notify_leaving_zone.yaml" TargetMode="External" Id="rId76"/><Relationship Type="http://schemas.openxmlformats.org/officeDocument/2006/relationships/hyperlink" Target="https://www.home-assistant.io/docs/automation/trigger/" TargetMode="External" Id="rId77"/><Relationship Type="http://schemas.openxmlformats.org/officeDocument/2006/relationships/hyperlink" Target="https://community.home-assistant.io/t/combination-of-motion-and-illuminance-sensor-to-control-light-bulb/995590" TargetMode="External" Id="rId78"/><Relationship Type="http://schemas.openxmlformats.org/officeDocument/2006/relationships/hyperlink" Target="https://community.home-assistant.io/t/trigger-automation-every-minute-unless-it-has-been-triggered-by-something-else/864628" TargetMode="External" Id="rId79"/><Relationship Type="http://schemas.openxmlformats.org/officeDocument/2006/relationships/hyperlink" Target="https://community.home-assistant.io/t/automation-arm-alarm-when-everyone-is-away/408113" TargetMode="External" Id="rId80"/><Relationship Type="http://schemas.openxmlformats.org/officeDocument/2006/relationships/hyperlink" Target="https://community.home-assistant.io/t/how-to-reliably-design-making-an-announcement-every-5-mins-until-a-binary-sensor-is-off/721406" TargetMode="External" Id="rId81"/><Relationship Type="http://schemas.openxmlformats.org/officeDocument/2006/relationships/hyperlink" Target="https://community.home-assistant.io/t/help-with-door-close-automation/600389" TargetMode="External" Id="rId82"/><Relationship Type="http://schemas.openxmlformats.org/officeDocument/2006/relationships/hyperlink" Target="https://community.home-assistant.io/t/delayed-entity-aka-turn-this-on-for-x-minutes/958200" TargetMode="External" Id="rId83"/><Relationship Type="http://schemas.openxmlformats.org/officeDocument/2006/relationships/hyperlink" Target="https://community.home-assistant.io/t/automation-to-turn-on-off-devices-at-different-times-days/566330" TargetMode="External" Id="rId84"/><Relationship Type="http://schemas.openxmlformats.org/officeDocument/2006/relationships/hyperlink" Target="https://community.home-assistant.io/t/how-to-trigger-an-automation-based-on-temperature-hysteresis/485629" TargetMode="External" Id="rId85"/><Relationship Type="http://schemas.openxmlformats.org/officeDocument/2006/relationships/hyperlink" Target="https://community.home-assistant.io/t/stop-an-automation-mid-run-via-an-input-boolean/878961" TargetMode="External" Id="rId86"/><Relationship Type="http://schemas.openxmlformats.org/officeDocument/2006/relationships/hyperlink" Target="https://community.home-assistant.io/t/understanding-automations-with-time-delays-and-how-to-control-them/367362" TargetMode="External" Id="rId87"/><Relationship Type="http://schemas.openxmlformats.org/officeDocument/2006/relationships/hyperlink" Target="https://community.home-assistant.io/t/how-to-enable-an-automation-between-times/712624" TargetMode="External" Id="rId88"/><Relationship Type="http://schemas.openxmlformats.org/officeDocument/2006/relationships/hyperlink" Target="https://community.home-assistant.io/t/evolution-of-an-automation-turn-a-light-on-off-at-sunset-sunrise/302465" TargetMode="External" Id="rId89"/><Relationship Type="http://schemas.openxmlformats.org/officeDocument/2006/relationships/hyperlink" Target="https://community.home-assistant.io/t/turn-something-on-for-a-set-time/670621" TargetMode="External" Id="rId90"/><Relationship Type="http://schemas.openxmlformats.org/officeDocument/2006/relationships/hyperlink" Target="https://community.home-assistant.io/t/automation-to-run-every-5-minutes/987759" TargetMode="External" Id="rId91"/><Relationship Type="http://schemas.openxmlformats.org/officeDocument/2006/relationships/hyperlink" Target="https://community.home-assistant.io/t/running-groups-of-actions-in-parallel/955561" TargetMode="External" Id="rId92"/><Relationship Type="http://schemas.openxmlformats.org/officeDocument/2006/relationships/hyperlink" Target="https://community.home-assistant.io/t/solved-automation-w-3-actions-notification-scripts-how-to-make-them-run-in-parallel/555703" TargetMode="External" Id="rId93"/><Relationship Type="http://schemas.openxmlformats.org/officeDocument/2006/relationships/hyperlink" Target="https://community.home-assistant.io/t/trying-to-create-action-in-parallel-with-delays-for-certain-actions-that-need-to-occur-sequentially/585191" TargetMode="External" Id="rId94"/><Relationship Type="http://schemas.openxmlformats.org/officeDocument/2006/relationships/hyperlink" Target="https://community.home-assistant.io/t/getting-an-average-reading-of-a-sensor-during-certain-hours/654561" TargetMode="External" Id="rId95"/><Relationship Type="http://schemas.openxmlformats.org/officeDocument/2006/relationships/hyperlink" Target="https://community.home-assistant.io/t/low-battery-notifications-actions/653754" TargetMode="External" Id="rId96"/><Relationship Type="http://schemas.openxmlformats.org/officeDocument/2006/relationships/hyperlink" Target="https://community.home-assistant.io/t/smart-doorbell-button-zigbee-with-sound-lights-notifications-presence-awareness/892319" TargetMode="External" Id="rId97"/><Relationship Type="http://schemas.openxmlformats.org/officeDocument/2006/relationships/hyperlink" Target="https://community.home-assistant.io/t/simple-washing-machine-finished-notification-power-sensor-helper-beginner-friendly/1024799" TargetMode="External" Id="rId98"/><Relationship Type="http://schemas.openxmlformats.org/officeDocument/2006/relationships/hyperlink" Target="https://community.home-assistant.io/t/need-help-with-light-automation/729908" TargetMode="External" Id="rId99"/><Relationship Type="http://schemas.openxmlformats.org/officeDocument/2006/relationships/hyperlink" Target="https://community.home-assistant.io/t/automation-that-triggers-when-all-residents-are-not-home/641504" TargetMode="External" Id="rId100"/><Relationship Type="http://schemas.openxmlformats.org/officeDocument/2006/relationships/table" Target="/xl/tables/table1.xml" Id="rId10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home-assistant/core/blob/dev/homeassistant/components/automation/blueprints/motion_light.yaml" TargetMode="External" Id="rId1"/><Relationship Type="http://schemas.openxmlformats.org/officeDocument/2006/relationships/hyperlink" Target="https://arxiv.org/html/2102.01468v2" TargetMode="External" Id="rId2"/><Relationship Type="http://schemas.openxmlformats.org/officeDocument/2006/relationships/hyperlink" Target="https://arxiv.org/html/2102.01468v2" TargetMode="External" Id="rId3"/><Relationship Type="http://schemas.openxmlformats.org/officeDocument/2006/relationships/hyperlink" Target="https://community.home-assistant.io/t/how-to-set-notifications-when-door-is-left-open/520305" TargetMode="External" Id="rId4"/><Relationship Type="http://schemas.openxmlformats.org/officeDocument/2006/relationships/hyperlink" Target="https://community.home-assistant.io/t/how-to-automate-open-door-notifications/783900" TargetMode="External" Id="rId5"/><Relationship Type="http://schemas.openxmlformats.org/officeDocument/2006/relationships/hyperlink" Target="https://homes.cs.washington.edu/~jessejm/data/ZhangICSE2019.pdf" TargetMode="External" Id="rId6"/><Relationship Type="http://schemas.openxmlformats.org/officeDocument/2006/relationships/hyperlink" Target="https://homes.cs.washington.edu/~jessejm/data/ZhangICSE2019.pdf" TargetMode="External" Id="rId7"/><Relationship Type="http://schemas.openxmlformats.org/officeDocument/2006/relationships/hyperlink" Target="https://www.blaseur.com/papers/TriggerActionCHI14.pdf" TargetMode="External" Id="rId8"/><Relationship Type="http://schemas.openxmlformats.org/officeDocument/2006/relationships/hyperlink" Target="https://www.blaseur.com/papers/TriggerActionCHI14.pdf" TargetMode="External" Id="rId9"/><Relationship Type="http://schemas.openxmlformats.org/officeDocument/2006/relationships/hyperlink" Target="https://homes.cs.washington.edu/~mcakmak/pdfs/2015/huang2015ubicomp.pdf" TargetMode="External" Id="rId10"/><Relationship Type="http://schemas.openxmlformats.org/officeDocument/2006/relationships/hyperlink" Target="https://homes.cs.washington.edu/~mcakmak/pdfs/2015/huang2015ubicomp.pdf" TargetMode="External" Id="rId11"/><Relationship Type="http://schemas.openxmlformats.org/officeDocument/2006/relationships/hyperlink" Target="https://par.nsf.gov/biblio/10106413" TargetMode="External" Id="rId12"/><Relationship Type="http://schemas.openxmlformats.org/officeDocument/2006/relationships/hyperlink" Target="https://community.home-assistant.io/t/running-groups-of-actions-in-parallel/955561" TargetMode="External" Id="rId13"/><Relationship Type="http://schemas.openxmlformats.org/officeDocument/2006/relationships/hyperlink" Target="https://community.home-assistant.io/t/getting-an-average-reading-of-a-sensor-during-certain-hours/654561" TargetMode="External" Id="rId14"/><Relationship Type="http://schemas.openxmlformats.org/officeDocument/2006/relationships/hyperlink" Target="https://community.home-assistant.io/t/stop-an-automation-mid-run-via-an-input-boolean/878961" TargetMode="External" Id="rId15"/><Relationship Type="http://schemas.openxmlformats.org/officeDocument/2006/relationships/hyperlink" Target="https://community.home-assistant.io/t/need-help-with-light-automation/729908" TargetMode="External" Id="rId16"/><Relationship Type="http://schemas.openxmlformats.org/officeDocument/2006/relationships/hyperlink" Target="https://github.com/zlfben/autotap/blob/master/data/Data%20-%20User%20Study%201.xlsx" TargetMode="External" Id="rId17"/><Relationship Type="http://schemas.openxmlformats.org/officeDocument/2006/relationships/hyperlink" Target="https://github.com/zlfben/autotap/blob/master/data/Data%20-%20User%20Study%201.xlsx" TargetMode="External" Id="rId18"/><Relationship Type="http://schemas.openxmlformats.org/officeDocument/2006/relationships/hyperlink" Target="https://developers.home.google.com/automations/example-scripts" TargetMode="External" Id="rId19"/><Relationship Type="http://schemas.openxmlformats.org/officeDocument/2006/relationships/hyperlink" Target="https://developers.home.google.com/automations/example-scripts" TargetMode="External" Id="rId20"/><Relationship Type="http://schemas.openxmlformats.org/officeDocument/2006/relationships/table" Target="/xl/tables/table2.xm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zlfben/autotap/blob/master/data/Data%20-%20User%20Study%201.xlsx" TargetMode="External" Id="rId1"/><Relationship Type="http://schemas.openxmlformats.org/officeDocument/2006/relationships/hyperlink" Target="https://github.com/zlfben/autotap/blob/master/data/Data%20-%20User%20Study%201.xlsx" TargetMode="External" Id="rId2"/><Relationship Type="http://schemas.openxmlformats.org/officeDocument/2006/relationships/hyperlink" Target="https://github.com/zlfben/autotap/blob/master/data/Data%20-%20User%20Study%201.xlsx" TargetMode="External" Id="rId3"/><Relationship Type="http://schemas.openxmlformats.org/officeDocument/2006/relationships/hyperlink" Target="https://github.com/zlfben/autotap/blob/master/data/Data%20-%20User%20Study%201.xlsx" TargetMode="External" Id="rId4"/><Relationship Type="http://schemas.openxmlformats.org/officeDocument/2006/relationships/hyperlink" Target="https://www.blaseur.com/papers/TriggerActionCHI14.pdf" TargetMode="External" Id="rId5"/><Relationship Type="http://schemas.openxmlformats.org/officeDocument/2006/relationships/hyperlink" Target="https://www.blaseur.com/papers/TriggerActionCHI14.pdf" TargetMode="External" Id="rId6"/><Relationship Type="http://schemas.openxmlformats.org/officeDocument/2006/relationships/hyperlink" Target="https://community.home-assistant.io/t/delayed-entity-aka-turn-this-on-for-x-minutes/958200" TargetMode="External" Id="rId7"/><Relationship Type="http://schemas.openxmlformats.org/officeDocument/2006/relationships/hyperlink" Target="https://community.home-assistant.io/t/automation-to-run-every-5-minutes/987759" TargetMode="External" Id="rId8"/><Relationship Type="http://schemas.openxmlformats.org/officeDocument/2006/relationships/table" Target="/xl/tables/table3.xm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github.com/home-assistant/core/blob/dev/homeassistant/components/automation/blueprints/motion_light.yaml" TargetMode="External" Id="rId1"/><Relationship Type="http://schemas.openxmlformats.org/officeDocument/2006/relationships/hyperlink" Target="https://arxiv.org/html/2102.01468v2" TargetMode="External" Id="rId2"/><Relationship Type="http://schemas.openxmlformats.org/officeDocument/2006/relationships/hyperlink" Target="https://arxiv.org/html/2102.01468v2" TargetMode="External" Id="rId3"/><Relationship Type="http://schemas.openxmlformats.org/officeDocument/2006/relationships/hyperlink" Target="https://community.home-assistant.io/t/how-to-set-notifications-when-door-is-left-open/520305" TargetMode="External" Id="rId4"/><Relationship Type="http://schemas.openxmlformats.org/officeDocument/2006/relationships/hyperlink" Target="https://community.home-assistant.io/t/how-to-automate-open-door-notifications/783900" TargetMode="External" Id="rId5"/><Relationship Type="http://schemas.openxmlformats.org/officeDocument/2006/relationships/hyperlink" Target="https://homes.cs.washington.edu/~jessejm/data/ZhangICSE2019.pdf" TargetMode="External" Id="rId6"/><Relationship Type="http://schemas.openxmlformats.org/officeDocument/2006/relationships/hyperlink" Target="https://homes.cs.washington.edu/~jessejm/data/ZhangICSE2019.pdf" TargetMode="External" Id="rId7"/><Relationship Type="http://schemas.openxmlformats.org/officeDocument/2006/relationships/hyperlink" Target="https://www.blaseur.com/papers/TriggerActionCHI14.pdf" TargetMode="External" Id="rId8"/><Relationship Type="http://schemas.openxmlformats.org/officeDocument/2006/relationships/hyperlink" Target="https://www.blaseur.com/papers/TriggerActionCHI14.pdf" TargetMode="External" Id="rId9"/><Relationship Type="http://schemas.openxmlformats.org/officeDocument/2006/relationships/hyperlink" Target="https://homes.cs.washington.edu/~mcakmak/pdfs/2015/huang2015ubicomp.pdf" TargetMode="External" Id="rId10"/><Relationship Type="http://schemas.openxmlformats.org/officeDocument/2006/relationships/hyperlink" Target="https://homes.cs.washington.edu/~mcakmak/pdfs/2015/huang2015ubicomp.pdf" TargetMode="External" Id="rId11"/><Relationship Type="http://schemas.openxmlformats.org/officeDocument/2006/relationships/hyperlink" Target="https://par.nsf.gov/biblio/10106413" TargetMode="External" Id="rId12"/><Relationship Type="http://schemas.openxmlformats.org/officeDocument/2006/relationships/hyperlink" Target="https://github.com/zlfben/autotap/blob/master/data/Data%20-%20User%20Study%201.xlsx" TargetMode="External" Id="rId13"/><Relationship Type="http://schemas.openxmlformats.org/officeDocument/2006/relationships/hyperlink" Target="https://github.com/zlfben/autotap/blob/master/data/Data%20-%20User%20Study%201.xlsx" TargetMode="External" Id="rId14"/><Relationship Type="http://schemas.openxmlformats.org/officeDocument/2006/relationships/hyperlink" Target="https://github.com/zlfben/autotap/blob/master/data/Data%20-%20User%20Study%201.xlsx" TargetMode="External" Id="rId15"/><Relationship Type="http://schemas.openxmlformats.org/officeDocument/2006/relationships/hyperlink" Target="https://github.com/zlfben/autotap/blob/master/data/Data%20-%20User%20Study%201.xlsx" TargetMode="External" Id="rId16"/><Relationship Type="http://schemas.openxmlformats.org/officeDocument/2006/relationships/hyperlink" Target="https://github.com/zlfben/autotap/blob/master/data/Data%20-%20User%20Study%201.xlsx" TargetMode="External" Id="rId17"/><Relationship Type="http://schemas.openxmlformats.org/officeDocument/2006/relationships/hyperlink" Target="https://github.com/zlfben/autotap/blob/master/data/Data%20-%20User%20Study%201.xlsx" TargetMode="External" Id="rId18"/><Relationship Type="http://schemas.openxmlformats.org/officeDocument/2006/relationships/hyperlink" Target="https://github.com/zlfben/autotap/blob/master/data/Data%20-%20User%20Study%201.xlsx" TargetMode="External" Id="rId19"/><Relationship Type="http://schemas.openxmlformats.org/officeDocument/2006/relationships/hyperlink" Target="https://github.com/zlfben/autotap/blob/master/data/Data%20-%20User%20Study%201.xlsx" TargetMode="External" Id="rId20"/><Relationship Type="http://schemas.openxmlformats.org/officeDocument/2006/relationships/hyperlink" Target="https://github.com/zlfben/autotap/blob/master/data/Data%20-%20User%20Study%201.xlsx" TargetMode="External" Id="rId21"/><Relationship Type="http://schemas.openxmlformats.org/officeDocument/2006/relationships/hyperlink" Target="https://github.com/zlfben/autotap/blob/master/data/Data%20-%20User%20Study%201.xlsx" TargetMode="External" Id="rId22"/><Relationship Type="http://schemas.openxmlformats.org/officeDocument/2006/relationships/hyperlink" Target="https://github.com/zlfben/autotap/blob/master/data/Data%20-%20User%20Study%201.xlsx" TargetMode="External" Id="rId23"/><Relationship Type="http://schemas.openxmlformats.org/officeDocument/2006/relationships/hyperlink" Target="https://github.com/zlfben/autotap/blob/master/data/Data%20-%20User%20Study%201.xlsx" TargetMode="External" Id="rId24"/><Relationship Type="http://schemas.openxmlformats.org/officeDocument/2006/relationships/hyperlink" Target="https://github.com/zlfben/autotap/blob/master/data/Data%20-%20User%20Study%201.xlsx" TargetMode="External" Id="rId25"/><Relationship Type="http://schemas.openxmlformats.org/officeDocument/2006/relationships/hyperlink" Target="https://github.com/zlfben/autotap/blob/master/data/Data%20-%20User%20Study%201.xlsx" TargetMode="External" Id="rId26"/><Relationship Type="http://schemas.openxmlformats.org/officeDocument/2006/relationships/hyperlink" Target="https://github.com/zlfben/autotap/blob/master/data/Data%20-%20User%20Study%201.xlsx" TargetMode="External" Id="rId27"/><Relationship Type="http://schemas.openxmlformats.org/officeDocument/2006/relationships/hyperlink" Target="https://github.com/zlfben/autotap/blob/master/data/Data%20-%20User%20Study%201.xlsx" TargetMode="External" Id="rId28"/><Relationship Type="http://schemas.openxmlformats.org/officeDocument/2006/relationships/hyperlink" Target="https://github.com/zlfben/autotap/blob/master/data/Data%20-%20User%20Study%201.xlsx" TargetMode="External" Id="rId29"/><Relationship Type="http://schemas.openxmlformats.org/officeDocument/2006/relationships/hyperlink" Target="https://github.com/zlfben/autotap/blob/master/data/Data%20-%20User%20Study%201.xlsx" TargetMode="External" Id="rId30"/><Relationship Type="http://schemas.openxmlformats.org/officeDocument/2006/relationships/hyperlink" Target="https://github.com/zlfben/autotap/blob/master/data/Data%20-%20User%20Study%201.xlsx" TargetMode="External" Id="rId31"/><Relationship Type="http://schemas.openxmlformats.org/officeDocument/2006/relationships/hyperlink" Target="https://github.com/zlfben/autotap/blob/master/data/Data%20-%20User%20Study%201.xlsx" TargetMode="External" Id="rId32"/><Relationship Type="http://schemas.openxmlformats.org/officeDocument/2006/relationships/hyperlink" Target="https://github.com/zlfben/autotap/blob/master/data/Data%20-%20User%20Study%201.xlsx" TargetMode="External" Id="rId33"/><Relationship Type="http://schemas.openxmlformats.org/officeDocument/2006/relationships/hyperlink" Target="https://github.com/zlfben/autotap/blob/master/data/Data%20-%20User%20Study%201.xlsx" TargetMode="External" Id="rId34"/><Relationship Type="http://schemas.openxmlformats.org/officeDocument/2006/relationships/hyperlink" Target="https://github.com/zlfben/autotap/blob/master/data/Data%20-%20User%20Study%201.xlsx" TargetMode="External" Id="rId35"/><Relationship Type="http://schemas.openxmlformats.org/officeDocument/2006/relationships/hyperlink" Target="https://www.blaseur.com/papers/TriggerActionCHI14.pdf" TargetMode="External" Id="rId36"/><Relationship Type="http://schemas.openxmlformats.org/officeDocument/2006/relationships/hyperlink" Target="https://www.blaseur.com/papers/TriggerActionCHI14.pdf" TargetMode="External" Id="rId37"/><Relationship Type="http://schemas.openxmlformats.org/officeDocument/2006/relationships/hyperlink" Target="https://www.blaseur.com/papers/TriggerActionCHI14.pdf" TargetMode="External" Id="rId38"/><Relationship Type="http://schemas.openxmlformats.org/officeDocument/2006/relationships/hyperlink" Target="https://www.blaseur.com/papers/TriggerActionCHI14.pdf" TargetMode="External" Id="rId39"/><Relationship Type="http://schemas.openxmlformats.org/officeDocument/2006/relationships/hyperlink" Target="https://www.blaseur.com/papers/TriggerActionCHI14.pdf" TargetMode="External" Id="rId40"/><Relationship Type="http://schemas.openxmlformats.org/officeDocument/2006/relationships/hyperlink" Target="https://www.blaseur.com/papers/TriggerActionCHI14.pdf" TargetMode="External" Id="rId41"/><Relationship Type="http://schemas.openxmlformats.org/officeDocument/2006/relationships/hyperlink" Target="https://www.blaseur.com/papers/TriggerActionCHI14.pdf" TargetMode="External" Id="rId42"/><Relationship Type="http://schemas.openxmlformats.org/officeDocument/2006/relationships/hyperlink" Target="https://www.blaseur.com/papers/TriggerActionCHI14.pdf" TargetMode="External" Id="rId43"/><Relationship Type="http://schemas.openxmlformats.org/officeDocument/2006/relationships/hyperlink" Target="https://www.blaseur.com/papers/TriggerActionCHI14.pdf" TargetMode="External" Id="rId44"/><Relationship Type="http://schemas.openxmlformats.org/officeDocument/2006/relationships/hyperlink" Target="https://www.blaseur.com/papers/TriggerActionCHI14.pdf" TargetMode="External" Id="rId45"/><Relationship Type="http://schemas.openxmlformats.org/officeDocument/2006/relationships/hyperlink" Target="https://hcrlab.cs.washington.edu/assets/pdfs/2015/huang2015ubicomp.pdf" TargetMode="External" Id="rId46"/><Relationship Type="http://schemas.openxmlformats.org/officeDocument/2006/relationships/hyperlink" Target="https://hcrlab.cs.washington.edu/assets/pdfs/2015/huang2015ubicomp.pdf" TargetMode="External" Id="rId47"/><Relationship Type="http://schemas.openxmlformats.org/officeDocument/2006/relationships/hyperlink" Target="https://hcrlab.cs.washington.edu/assets/pdfs/2015/huang2015ubicomp.pdf" TargetMode="External" Id="rId48"/><Relationship Type="http://schemas.openxmlformats.org/officeDocument/2006/relationships/hyperlink" Target="https://hcrlab.cs.washington.edu/assets/pdfs/2015/huang2015ubicomp.pdf" TargetMode="External" Id="rId49"/><Relationship Type="http://schemas.openxmlformats.org/officeDocument/2006/relationships/hyperlink" Target="https://hcrlab.cs.washington.edu/assets/pdfs/2015/huang2015ubicomp.pdf" TargetMode="External" Id="rId50"/><Relationship Type="http://schemas.openxmlformats.org/officeDocument/2006/relationships/hyperlink" Target="https://hcrlab.cs.washington.edu/assets/pdfs/2015/huang2015ubicomp.pdf" TargetMode="External" Id="rId51"/><Relationship Type="http://schemas.openxmlformats.org/officeDocument/2006/relationships/hyperlink" Target="https://hcrlab.cs.washington.edu/assets/pdfs/2015/huang2015ubicomp.pdf" TargetMode="External" Id="rId52"/><Relationship Type="http://schemas.openxmlformats.org/officeDocument/2006/relationships/hyperlink" Target="https://hcrlab.cs.washington.edu/assets/pdfs/2015/huang2015ubicomp.pdf" TargetMode="External" Id="rId53"/><Relationship Type="http://schemas.openxmlformats.org/officeDocument/2006/relationships/hyperlink" Target="https://developers.home.google.com/automations/example-scripts" TargetMode="External" Id="rId54"/><Relationship Type="http://schemas.openxmlformats.org/officeDocument/2006/relationships/hyperlink" Target="https://developers.home.google.com/automations/example-scripts" TargetMode="External" Id="rId55"/><Relationship Type="http://schemas.openxmlformats.org/officeDocument/2006/relationships/hyperlink" Target="https://developers.home.google.com/automations/example-scripts" TargetMode="External" Id="rId56"/><Relationship Type="http://schemas.openxmlformats.org/officeDocument/2006/relationships/hyperlink" Target="https://developers.home.google.com/automations/example-scripts" TargetMode="External" Id="rId57"/><Relationship Type="http://schemas.openxmlformats.org/officeDocument/2006/relationships/hyperlink" Target="https://developers.home.google.com/automations/example-scripts" TargetMode="External" Id="rId58"/><Relationship Type="http://schemas.openxmlformats.org/officeDocument/2006/relationships/hyperlink" Target="https://developers.home.google.com/automations/example-scripts" TargetMode="External" Id="rId59"/><Relationship Type="http://schemas.openxmlformats.org/officeDocument/2006/relationships/hyperlink" Target="https://developers.home.google.com/automations/example-scripts" TargetMode="External" Id="rId60"/><Relationship Type="http://schemas.openxmlformats.org/officeDocument/2006/relationships/hyperlink" Target="https://developers.home.google.com/automations/example-scripts" TargetMode="External" Id="rId61"/><Relationship Type="http://schemas.openxmlformats.org/officeDocument/2006/relationships/hyperlink" Target="https://developers.home.google.com/automations/example-scripts" TargetMode="External" Id="rId62"/><Relationship Type="http://schemas.openxmlformats.org/officeDocument/2006/relationships/hyperlink" Target="https://developers.home.google.com/automations/example-scripts" TargetMode="External" Id="rId63"/><Relationship Type="http://schemas.openxmlformats.org/officeDocument/2006/relationships/hyperlink" Target="https://developers.home.google.com/automations/example-scripts" TargetMode="External" Id="rId64"/><Relationship Type="http://schemas.openxmlformats.org/officeDocument/2006/relationships/hyperlink" Target="https://developers.home.google.com/automations/example-scripts" TargetMode="External" Id="rId65"/><Relationship Type="http://schemas.openxmlformats.org/officeDocument/2006/relationships/hyperlink" Target="https://developers.home.google.com/automations/example-scripts" TargetMode="External" Id="rId66"/><Relationship Type="http://schemas.openxmlformats.org/officeDocument/2006/relationships/hyperlink" Target="https://developers.home.google.com/automations/example-scripts" TargetMode="External" Id="rId67"/><Relationship Type="http://schemas.openxmlformats.org/officeDocument/2006/relationships/hyperlink" Target="https://developers.home.google.com/automations/example-scripts" TargetMode="External" Id="rId68"/><Relationship Type="http://schemas.openxmlformats.org/officeDocument/2006/relationships/hyperlink" Target="https://developers.home.google.com/automations/example-scripts" TargetMode="External" Id="rId69"/><Relationship Type="http://schemas.openxmlformats.org/officeDocument/2006/relationships/hyperlink" Target="https://developers.home.google.com/automations/example-scripts" TargetMode="External" Id="rId70"/><Relationship Type="http://schemas.openxmlformats.org/officeDocument/2006/relationships/hyperlink" Target="https://developers.home.google.com/automations/example-scripts" TargetMode="External" Id="rId71"/><Relationship Type="http://schemas.openxmlformats.org/officeDocument/2006/relationships/hyperlink" Target="https://developers.home.google.com/automations/example-scripts" TargetMode="External" Id="rId72"/><Relationship Type="http://schemas.openxmlformats.org/officeDocument/2006/relationships/hyperlink" Target="https://developers.home.google.com/automations/example-scripts" TargetMode="External" Id="rId73"/><Relationship Type="http://schemas.openxmlformats.org/officeDocument/2006/relationships/hyperlink" Target="https://developers.home.google.com/automations/example-scripts" TargetMode="External" Id="rId74"/><Relationship Type="http://schemas.openxmlformats.org/officeDocument/2006/relationships/hyperlink" Target="https://developers.home.google.com/automations/example-scripts" TargetMode="External" Id="rId75"/><Relationship Type="http://schemas.openxmlformats.org/officeDocument/2006/relationships/hyperlink" Target="https://github.com/home-assistant/core/blob/dev/homeassistant/components/automation/blueprints/notify_leaving_zone.yaml" TargetMode="External" Id="rId76"/><Relationship Type="http://schemas.openxmlformats.org/officeDocument/2006/relationships/hyperlink" Target="https://www.home-assistant.io/docs/automation/trigger/" TargetMode="External" Id="rId77"/><Relationship Type="http://schemas.openxmlformats.org/officeDocument/2006/relationships/hyperlink" Target="https://community.home-assistant.io/t/combination-of-motion-and-illuminance-sensor-to-control-light-bulb/995590" TargetMode="External" Id="rId78"/><Relationship Type="http://schemas.openxmlformats.org/officeDocument/2006/relationships/hyperlink" Target="https://community.home-assistant.io/t/trigger-automation-every-minute-unless-it-has-been-triggered-by-something-else/864628" TargetMode="External" Id="rId79"/><Relationship Type="http://schemas.openxmlformats.org/officeDocument/2006/relationships/hyperlink" Target="https://community.home-assistant.io/t/automation-arm-alarm-when-everyone-is-away/408113" TargetMode="External" Id="rId80"/><Relationship Type="http://schemas.openxmlformats.org/officeDocument/2006/relationships/hyperlink" Target="https://community.home-assistant.io/t/how-to-reliably-design-making-an-announcement-every-5-mins-until-a-binary-sensor-is-off/721406" TargetMode="External" Id="rId81"/><Relationship Type="http://schemas.openxmlformats.org/officeDocument/2006/relationships/hyperlink" Target="https://community.home-assistant.io/t/help-with-door-close-automation/600389" TargetMode="External" Id="rId82"/><Relationship Type="http://schemas.openxmlformats.org/officeDocument/2006/relationships/hyperlink" Target="https://community.home-assistant.io/t/delayed-entity-aka-turn-this-on-for-x-minutes/958200" TargetMode="External" Id="rId83"/><Relationship Type="http://schemas.openxmlformats.org/officeDocument/2006/relationships/hyperlink" Target="https://community.home-assistant.io/t/automation-to-turn-on-off-devices-at-different-times-days/566330" TargetMode="External" Id="rId84"/><Relationship Type="http://schemas.openxmlformats.org/officeDocument/2006/relationships/hyperlink" Target="https://community.home-assistant.io/t/how-to-trigger-an-automation-based-on-temperature-hysteresis/485629" TargetMode="External" Id="rId85"/><Relationship Type="http://schemas.openxmlformats.org/officeDocument/2006/relationships/hyperlink" Target="https://community.home-assistant.io/t/stop-an-automation-mid-run-via-an-input-boolean/878961" TargetMode="External" Id="rId86"/><Relationship Type="http://schemas.openxmlformats.org/officeDocument/2006/relationships/hyperlink" Target="https://community.home-assistant.io/t/understanding-automations-with-time-delays-and-how-to-control-them/367362" TargetMode="External" Id="rId87"/><Relationship Type="http://schemas.openxmlformats.org/officeDocument/2006/relationships/hyperlink" Target="https://community.home-assistant.io/t/how-to-enable-an-automation-between-times/712624" TargetMode="External" Id="rId88"/><Relationship Type="http://schemas.openxmlformats.org/officeDocument/2006/relationships/hyperlink" Target="https://community.home-assistant.io/t/evolution-of-an-automation-turn-a-light-on-off-at-sunset-sunrise/302465" TargetMode="External" Id="rId89"/><Relationship Type="http://schemas.openxmlformats.org/officeDocument/2006/relationships/hyperlink" Target="https://community.home-assistant.io/t/turn-something-on-for-a-set-time/670621" TargetMode="External" Id="rId90"/><Relationship Type="http://schemas.openxmlformats.org/officeDocument/2006/relationships/hyperlink" Target="https://community.home-assistant.io/t/automation-to-run-every-5-minutes/987759" TargetMode="External" Id="rId91"/><Relationship Type="http://schemas.openxmlformats.org/officeDocument/2006/relationships/hyperlink" Target="https://community.home-assistant.io/t/running-groups-of-actions-in-parallel/955561" TargetMode="External" Id="rId92"/><Relationship Type="http://schemas.openxmlformats.org/officeDocument/2006/relationships/hyperlink" Target="https://community.home-assistant.io/t/solved-automation-w-3-actions-notification-scripts-how-to-make-them-run-in-parallel/555703" TargetMode="External" Id="rId93"/><Relationship Type="http://schemas.openxmlformats.org/officeDocument/2006/relationships/hyperlink" Target="https://community.home-assistant.io/t/trying-to-create-action-in-parallel-with-delays-for-certain-actions-that-need-to-occur-sequentially/585191" TargetMode="External" Id="rId94"/><Relationship Type="http://schemas.openxmlformats.org/officeDocument/2006/relationships/hyperlink" Target="https://community.home-assistant.io/t/getting-an-average-reading-of-a-sensor-during-certain-hours/654561" TargetMode="External" Id="rId95"/><Relationship Type="http://schemas.openxmlformats.org/officeDocument/2006/relationships/hyperlink" Target="https://community.home-assistant.io/t/low-battery-notifications-actions/653754" TargetMode="External" Id="rId96"/><Relationship Type="http://schemas.openxmlformats.org/officeDocument/2006/relationships/hyperlink" Target="https://community.home-assistant.io/t/smart-doorbell-button-zigbee-with-sound-lights-notifications-presence-awareness/892319" TargetMode="External" Id="rId97"/><Relationship Type="http://schemas.openxmlformats.org/officeDocument/2006/relationships/hyperlink" Target="https://community.home-assistant.io/t/simple-washing-machine-finished-notification-power-sensor-helper-beginner-friendly/1024799" TargetMode="External" Id="rId98"/><Relationship Type="http://schemas.openxmlformats.org/officeDocument/2006/relationships/hyperlink" Target="https://community.home-assistant.io/t/need-help-with-light-automation/729908" TargetMode="External" Id="rId99"/><Relationship Type="http://schemas.openxmlformats.org/officeDocument/2006/relationships/hyperlink" Target="https://community.home-assistant.io/t/automation-that-triggers-when-all-residents-are-not-home/641504" TargetMode="External" Id="rId100"/><Relationship Type="http://schemas.openxmlformats.org/officeDocument/2006/relationships/hyperlink" Target="https://github.com/zlfben/autotap/blob/master/data/Data%20-%20User%20Study%201.xlsx" TargetMode="External" Id="rId101"/><Relationship Type="http://schemas.openxmlformats.org/officeDocument/2006/relationships/hyperlink" Target="https://github.com/zlfben/autotap/blob/master/data/Data%20-%20User%20Study%201.xlsx" TargetMode="External" Id="rId102"/><Relationship Type="http://schemas.openxmlformats.org/officeDocument/2006/relationships/hyperlink" Target="https://github.com/zlfben/autotap/blob/master/data/Data%20-%20User%20Study%201.xlsx" TargetMode="External" Id="rId103"/><Relationship Type="http://schemas.openxmlformats.org/officeDocument/2006/relationships/hyperlink" Target="https://github.com/zlfben/autotap/blob/master/data/Data%20-%20User%20Study%201.xlsx" TargetMode="External" Id="rId104"/><Relationship Type="http://schemas.openxmlformats.org/officeDocument/2006/relationships/hyperlink" Target="https://github.com/zlfben/autotap/blob/master/data/Data%20-%20User%20Study%201.xlsx" TargetMode="External" Id="rId105"/><Relationship Type="http://schemas.openxmlformats.org/officeDocument/2006/relationships/hyperlink" Target="https://github.com/zlfben/autotap/blob/master/data/Data%20-%20User%20Study%201.xlsx" TargetMode="External" Id="rId106"/><Relationship Type="http://schemas.openxmlformats.org/officeDocument/2006/relationships/hyperlink" Target="https://github.com/zlfben/autotap/blob/master/data/Data%20-%20User%20Study%201.xlsx" TargetMode="External" Id="rId107"/><Relationship Type="http://schemas.openxmlformats.org/officeDocument/2006/relationships/hyperlink" Target="https://github.com/zlfben/autotap/blob/master/data/Data%20-%20User%20Study%201.xlsx" TargetMode="External" Id="rId108"/><Relationship Type="http://schemas.openxmlformats.org/officeDocument/2006/relationships/hyperlink" Target="https://github.com/zlfben/autotap/blob/master/data/Data%20-%20User%20Study%201.xlsx" TargetMode="External" Id="rId109"/><Relationship Type="http://schemas.openxmlformats.org/officeDocument/2006/relationships/hyperlink" Target="https://github.com/zlfben/autotap/blob/master/data/Data%20-%20User%20Study%201.xlsx" TargetMode="External" Id="rId110"/><Relationship Type="http://schemas.openxmlformats.org/officeDocument/2006/relationships/hyperlink" Target="https://github.com/zlfben/autotap/blob/master/data/Data%20-%20User%20Study%201.xlsx" TargetMode="External" Id="rId111"/><Relationship Type="http://schemas.openxmlformats.org/officeDocument/2006/relationships/hyperlink" Target="https://github.com/zlfben/autotap/blob/master/data/Data%20-%20User%20Study%201.xlsx" TargetMode="External" Id="rId112"/><Relationship Type="http://schemas.openxmlformats.org/officeDocument/2006/relationships/hyperlink" Target="https://github.com/zlfben/autotap/blob/master/data/Data%20-%20User%20Study%201.xlsx" TargetMode="External" Id="rId113"/><Relationship Type="http://schemas.openxmlformats.org/officeDocument/2006/relationships/hyperlink" Target="https://github.com/zlfben/autotap/blob/master/data/Data%20-%20User%20Study%201.xlsx" TargetMode="External" Id="rId114"/><Relationship Type="http://schemas.openxmlformats.org/officeDocument/2006/relationships/hyperlink" Target="https://github.com/zlfben/autotap/blob/master/data/Data%20-%20User%20Study%201.xlsx" TargetMode="External" Id="rId115"/><Relationship Type="http://schemas.openxmlformats.org/officeDocument/2006/relationships/hyperlink" Target="https://github.com/zlfben/autotap/blob/master/data/Data%20-%20User%20Study%201.xlsx" TargetMode="External" Id="rId116"/><Relationship Type="http://schemas.openxmlformats.org/officeDocument/2006/relationships/hyperlink" Target="https://github.com/zlfben/autotap/blob/master/data/Data%20-%20User%20Study%201.xlsx" TargetMode="External" Id="rId117"/><Relationship Type="http://schemas.openxmlformats.org/officeDocument/2006/relationships/hyperlink" Target="https://github.com/zlfben/autotap/blob/master/data/Data%20-%20User%20Study%201.xlsx" TargetMode="External" Id="rId118"/><Relationship Type="http://schemas.openxmlformats.org/officeDocument/2006/relationships/hyperlink" Target="https://github.com/zlfben/autotap/blob/master/data/Data%20-%20User%20Study%201.xlsx" TargetMode="External" Id="rId119"/><Relationship Type="http://schemas.openxmlformats.org/officeDocument/2006/relationships/hyperlink" Target="https://github.com/zlfben/autotap/blob/master/data/Data%20-%20User%20Study%201.xlsx" TargetMode="External" Id="rId120"/><Relationship Type="http://schemas.openxmlformats.org/officeDocument/2006/relationships/hyperlink" Target="https://github.com/zlfben/autotap/blob/master/data/Data%20-%20User%20Study%201.xlsx" TargetMode="External" Id="rId121"/><Relationship Type="http://schemas.openxmlformats.org/officeDocument/2006/relationships/hyperlink" Target="https://github.com/zlfben/autotap/blob/master/data/Data%20-%20User%20Study%201.xlsx" TargetMode="External" Id="rId122"/><Relationship Type="http://schemas.openxmlformats.org/officeDocument/2006/relationships/hyperlink" Target="https://github.com/zlfben/autotap/blob/master/data/Data%20-%20User%20Study%201.xlsx" TargetMode="External" Id="rId123"/><Relationship Type="http://schemas.openxmlformats.org/officeDocument/2006/relationships/hyperlink" Target="https://github.com/zlfben/autotap/blob/master/data/Data%20-%20User%20Study%201.xlsx" TargetMode="External" Id="rId124"/><Relationship Type="http://schemas.openxmlformats.org/officeDocument/2006/relationships/hyperlink" Target="https://github.com/zlfben/autotap/blob/master/data/Data%20-%20User%20Study%201.xlsx" TargetMode="External" Id="rId125"/><Relationship Type="http://schemas.openxmlformats.org/officeDocument/2006/relationships/hyperlink" Target="https://github.com/zlfben/autotap/blob/master/data/Data%20-%20User%20Study%201.xlsx" TargetMode="External" Id="rId126"/><Relationship Type="http://schemas.openxmlformats.org/officeDocument/2006/relationships/hyperlink" Target="https://github.com/zlfben/autotap/blob/master/data/Data%20-%20User%20Study%201.xlsx" TargetMode="External" Id="rId127"/><Relationship Type="http://schemas.openxmlformats.org/officeDocument/2006/relationships/hyperlink" Target="https://github.com/zlfben/autotap/blob/master/data/Data%20-%20User%20Study%201.xlsx" TargetMode="External" Id="rId128"/><Relationship Type="http://schemas.openxmlformats.org/officeDocument/2006/relationships/hyperlink" Target="https://github.com/zlfben/autotap/blob/master/data/Data%20-%20User%20Study%201.xlsx" TargetMode="External" Id="rId129"/><Relationship Type="http://schemas.openxmlformats.org/officeDocument/2006/relationships/hyperlink" Target="https://github.com/zlfben/autotap/blob/master/data/Data%20-%20User%20Study%201.xlsx" TargetMode="External" Id="rId130"/><Relationship Type="http://schemas.openxmlformats.org/officeDocument/2006/relationships/hyperlink" Target="https://github.com/zlfben/autotap/blob/master/data/Data%20-%20User%20Study%201.xlsx" TargetMode="External" Id="rId131"/><Relationship Type="http://schemas.openxmlformats.org/officeDocument/2006/relationships/hyperlink" Target="https://github.com/zlfben/autotap/blob/master/data/Data%20-%20User%20Study%201.xlsx" TargetMode="External" Id="rId132"/><Relationship Type="http://schemas.openxmlformats.org/officeDocument/2006/relationships/hyperlink" Target="https://github.com/zlfben/autotap/blob/master/data/Data%20-%20User%20Study%201.xlsx" TargetMode="External" Id="rId133"/><Relationship Type="http://schemas.openxmlformats.org/officeDocument/2006/relationships/hyperlink" Target="https://github.com/zlfben/autotap/blob/master/data/Data%20-%20User%20Study%201.xlsx" TargetMode="External" Id="rId134"/><Relationship Type="http://schemas.openxmlformats.org/officeDocument/2006/relationships/hyperlink" Target="https://github.com/zlfben/autotap/blob/master/data/Data%20-%20User%20Study%201.xlsx" TargetMode="External" Id="rId135"/><Relationship Type="http://schemas.openxmlformats.org/officeDocument/2006/relationships/hyperlink" Target="https://github.com/zlfben/autotap/blob/master/data/Data%20-%20User%20Study%201.xlsx" TargetMode="External" Id="rId136"/><Relationship Type="http://schemas.openxmlformats.org/officeDocument/2006/relationships/hyperlink" Target="https://github.com/zlfben/autotap/blob/master/data/Data%20-%20User%20Study%201.xlsx" TargetMode="External" Id="rId137"/><Relationship Type="http://schemas.openxmlformats.org/officeDocument/2006/relationships/hyperlink" Target="https://github.com/zlfben/autotap/blob/master/data/Data%20-%20User%20Study%201.xlsx" TargetMode="External" Id="rId138"/><Relationship Type="http://schemas.openxmlformats.org/officeDocument/2006/relationships/hyperlink" Target="https://github.com/zlfben/autotap/blob/master/data/Data%20-%20User%20Study%201.xlsx" TargetMode="External" Id="rId139"/><Relationship Type="http://schemas.openxmlformats.org/officeDocument/2006/relationships/hyperlink" Target="https://github.com/zlfben/autotap/blob/master/data/Data%20-%20User%20Study%201.xlsx" TargetMode="External" Id="rId140"/><Relationship Type="http://schemas.openxmlformats.org/officeDocument/2006/relationships/hyperlink" Target="https://github.com/zlfben/autotap/blob/master/data/Data%20-%20User%20Study%201.xlsx" TargetMode="External" Id="rId141"/><Relationship Type="http://schemas.openxmlformats.org/officeDocument/2006/relationships/hyperlink" Target="https://github.com/zlfben/autotap/blob/master/data/Data%20-%20User%20Study%201.xlsx" TargetMode="External" Id="rId142"/><Relationship Type="http://schemas.openxmlformats.org/officeDocument/2006/relationships/hyperlink" Target="https://github.com/zlfben/autotap/blob/master/data/Data%20-%20User%20Study%201.xlsx" TargetMode="External" Id="rId143"/><Relationship Type="http://schemas.openxmlformats.org/officeDocument/2006/relationships/hyperlink" Target="https://github.com/zlfben/autotap/blob/master/data/Data%20-%20User%20Study%201.xlsx" TargetMode="External" Id="rId144"/><Relationship Type="http://schemas.openxmlformats.org/officeDocument/2006/relationships/hyperlink" Target="https://github.com/zlfben/autotap/blob/master/data/Data%20-%20User%20Study%201.xlsx" TargetMode="External" Id="rId145"/><Relationship Type="http://schemas.openxmlformats.org/officeDocument/2006/relationships/hyperlink" Target="https://github.com/zlfben/autotap/blob/master/data/Data%20-%20User%20Study%201.xlsx" TargetMode="External" Id="rId146"/><Relationship Type="http://schemas.openxmlformats.org/officeDocument/2006/relationships/hyperlink" Target="https://github.com/zlfben/autotap/blob/master/data/Data%20-%20User%20Study%201.xlsx" TargetMode="External" Id="rId147"/><Relationship Type="http://schemas.openxmlformats.org/officeDocument/2006/relationships/hyperlink" Target="https://github.com/zlfben/autotap/blob/master/data/Data%20-%20User%20Study%201.xlsx" TargetMode="External" Id="rId148"/><Relationship Type="http://schemas.openxmlformats.org/officeDocument/2006/relationships/hyperlink" Target="https://github.com/zlfben/autotap/blob/master/data/Data%20-%20User%20Study%201.xlsx" TargetMode="External" Id="rId149"/><Relationship Type="http://schemas.openxmlformats.org/officeDocument/2006/relationships/hyperlink" Target="https://github.com/zlfben/autotap/blob/master/data/Data%20-%20User%20Study%201.xlsx" TargetMode="External" Id="rId150"/><Relationship Type="http://schemas.openxmlformats.org/officeDocument/2006/relationships/table" Target="/xl/tables/table4.xml" Id="rId15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62" customWidth="1" min="3" max="3"/>
  </cols>
  <sheetData>
    <row r="1">
      <c r="A1" s="1" t="inlineStr">
        <is>
          <t>E1 Timeline IR adequacy — 100-item breadth corpus</t>
        </is>
      </c>
    </row>
    <row r="2">
      <c r="A2" t="inlineStr">
        <is>
          <t>Version</t>
        </is>
      </c>
      <c r="B2" t="inlineStr">
        <is>
          <t>e1-corpus-v0.3-author-coded</t>
        </is>
      </c>
    </row>
    <row r="3">
      <c r="A3" t="inlineStr">
        <is>
          <t>Repository baseline</t>
        </is>
      </c>
      <c r="B3" t="inlineStr">
        <is>
          <t>paper @ 0788969e5d313415276a6cf89151aca8cce7c047</t>
        </is>
      </c>
    </row>
    <row r="5">
      <c r="A5" t="inlineStr">
        <is>
          <t>Metric</t>
        </is>
      </c>
      <c r="B5" t="inlineStr">
        <is>
          <t>Value</t>
        </is>
      </c>
      <c r="C5" t="inlineStr">
        <is>
          <t>Interpretation</t>
        </is>
      </c>
    </row>
    <row r="6">
      <c r="A6" t="inlineStr">
        <is>
          <t>Retained corpus</t>
        </is>
      </c>
      <c r="B6">
        <f>COUNTA(Corpus_100!A2:A101)</f>
        <v/>
      </c>
      <c r="C6" t="inlineStr">
        <is>
          <t>Fixed breadth corpus</t>
        </is>
      </c>
    </row>
    <row r="7">
      <c r="A7" t="inlineStr">
        <is>
          <t>Existing completed seed</t>
        </is>
      </c>
      <c r="B7">
        <f>COUNTIF(Corpus_100!B2:B101,"seed")</f>
        <v/>
      </c>
      <c r="C7" t="inlineStr">
        <is>
          <t>Existing 12/12, 41/41 exact histories</t>
        </is>
      </c>
    </row>
    <row r="8">
      <c r="A8" t="inlineStr">
        <is>
          <t>New candidates</t>
        </is>
      </c>
      <c r="B8">
        <f>COUNTIF(Corpus_100!B2:B101,"new")</f>
        <v/>
      </c>
      <c r="C8" t="inlineStr">
        <is>
          <t>Collected before new encoding</t>
        </is>
      </c>
    </row>
    <row r="9">
      <c r="A9" t="inlineStr">
        <is>
          <t>In scope</t>
        </is>
      </c>
      <c r="B9">
        <f>COUNTIF(Corpus_100!L2:L101,"IN_SCOPE")</f>
        <v/>
      </c>
      <c r="C9" t="inlineStr">
        <is>
          <t>Breadth denominator candidate</t>
        </is>
      </c>
    </row>
    <row r="10">
      <c r="A10" t="inlineStr">
        <is>
          <t>Ambiguous</t>
        </is>
      </c>
      <c r="B10">
        <f>COUNTIF(Corpus_100!L2:L101,"AMBIGUOUS")</f>
        <v/>
      </c>
      <c r="C10" t="inlineStr">
        <is>
          <t>Retained; resolve before depth IR</t>
        </is>
      </c>
    </row>
    <row r="11">
      <c r="A11" t="inlineStr">
        <is>
          <t>Out of scope</t>
        </is>
      </c>
      <c r="B11">
        <f>COUNTIF(Corpus_100!L2:L101,"OUT_OF_SCOPE")</f>
        <v/>
      </c>
      <c r="C11" t="inlineStr">
        <is>
          <t>Retained as transparent boundary record</t>
        </is>
      </c>
    </row>
    <row r="12">
      <c r="A12" t="inlineStr">
        <is>
          <t>Unmatched</t>
        </is>
      </c>
      <c r="B12">
        <f>COUNTIF(Corpus_100!L2:L101,"UNMATCHED")</f>
        <v/>
      </c>
      <c r="C12" t="inlineStr">
        <is>
          <t>Catalog/backend separation</t>
        </is>
      </c>
    </row>
    <row r="13">
      <c r="A13" t="inlineStr">
        <is>
          <t>Depth total</t>
        </is>
      </c>
      <c r="B13">
        <f>COUNTA(Depth_20!A2:A21)</f>
        <v/>
      </c>
      <c r="C13" t="inlineStr">
        <is>
          <t>12 completed + 8 proposed</t>
        </is>
      </c>
    </row>
    <row r="14">
      <c r="A14" t="inlineStr">
        <is>
          <t>Screened candidates</t>
        </is>
      </c>
      <c r="B14">
        <f>COUNTA(Screening_150!A2:A151)</f>
        <v/>
      </c>
      <c r="C14" t="inlineStr">
        <is>
          <t>Includes non-retained log</t>
        </is>
      </c>
    </row>
    <row r="17">
      <c r="A17" s="2" t="inlineStr">
        <is>
          <t>Design rules</t>
        </is>
      </c>
    </row>
    <row r="18">
      <c r="A18" s="3" t="inlineStr">
        <is>
          <t>• Source-diverse corpus: official 25, research 26, elicited 24, community 25 (C15 reclassified after audit; no rebalancing).</t>
        </is>
      </c>
    </row>
    <row r="19">
      <c r="A19" s="3" t="inlineStr">
        <is>
          <t>• Existing 12 remain the seed cohort; 12 was a Stage A work unit without a statistical sample-size rationale.</t>
        </is>
      </c>
    </row>
    <row r="20">
      <c r="A20" s="3" t="inlineStr">
        <is>
          <t>• E1 semantic adequacy uses human audit plus reference-runner traces. Explorer is auxiliary and cannot change E1 adequacy.</t>
        </is>
      </c>
    </row>
    <row r="21">
      <c r="A21" s="3" t="inlineStr">
        <is>
          <t>• Screening status is the author's manual screening (2026-09-13); no retained duplicate. No second coder or kappa is used. rb_preliminary is triage only; rb_adjudicated holds the author's final R/B codes for the 92 IN_SCOPE rows (N/A for the other 8); R/B counts use denominator 92.</t>
        </is>
      </c>
    </row>
    <row r="22">
      <c r="A22" s="3" t="inlineStr">
        <is>
          <t>• No new Timeline IR is written until source, interpretation, assumptions, histories, and expected ACTION traces are frozen.</t>
        </is>
      </c>
    </row>
  </sheetData>
  <mergeCells count="8">
    <mergeCell ref="A19:F19"/>
    <mergeCell ref="A1:F1"/>
    <mergeCell ref="B3:F3"/>
    <mergeCell ref="A22:F22"/>
    <mergeCell ref="A17:F17"/>
    <mergeCell ref="A18:F18"/>
    <mergeCell ref="A20:F20"/>
    <mergeCell ref="A21:F2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6" customWidth="1" min="4" max="4"/>
    <col width="24" customWidth="1" min="5" max="5"/>
    <col width="34" customWidth="1" min="6" max="6"/>
    <col width="28" customWidth="1" min="7" max="7"/>
    <col width="24" customWidth="1" min="8" max="8"/>
    <col width="15" customWidth="1" min="9" max="9"/>
    <col width="42" customWidth="1" min="10" max="10"/>
    <col width="42" customWidth="1" min="11" max="11"/>
    <col width="15" customWidth="1" min="12" max="12"/>
    <col width="42" customWidth="1" min="13" max="13"/>
    <col width="18" customWidth="1" min="14" max="14"/>
    <col width="24" customWidth="1" min="15" max="15"/>
    <col width="24" customWidth="1" min="16" max="16"/>
    <col width="24" customWidth="1" min="17" max="17"/>
    <col width="24" customWidth="1" min="18" max="18"/>
    <col width="20" customWidth="1" min="19" max="19"/>
    <col width="22" customWidth="1" min="20" max="20"/>
    <col width="24" customWidth="1" min="21" max="21"/>
    <col width="12" customWidth="1" min="22" max="22"/>
    <col width="12" customWidth="1" min="23" max="23"/>
    <col width="24" customWidth="1" min="24" max="24"/>
    <col width="10" customWidth="1" min="25" max="25"/>
    <col width="24" customWidth="1" min="26" max="26"/>
    <col width="12" customWidth="1" min="27" max="27"/>
    <col width="42" customWidth="1" min="28" max="28"/>
    <col width="42" customWidth="1" min="29" max="29"/>
    <col width="42" customWidth="1" min="30" max="30"/>
    <col width="24" customWidth="1" min="31" max="31"/>
    <col width="24" customWidth="1" min="32" max="32"/>
    <col width="42" customWidth="1" min="33" max="33"/>
    <col width="15" customWidth="1" min="34" max="34"/>
  </cols>
  <sheetData>
    <row r="1">
      <c r="A1" s="4" t="inlineStr">
        <is>
          <t>corpus_id</t>
        </is>
      </c>
      <c r="B1" s="4" t="inlineStr">
        <is>
          <t>cohort</t>
        </is>
      </c>
      <c r="C1" s="4" t="inlineStr">
        <is>
          <t>prior_case_id</t>
        </is>
      </c>
      <c r="D1" s="4" t="inlineStr">
        <is>
          <t>source_stratum</t>
        </is>
      </c>
      <c r="E1" s="4" t="inlineStr">
        <is>
          <t>provenance_type</t>
        </is>
      </c>
      <c r="F1" s="4" t="inlineStr">
        <is>
          <t>source_title</t>
        </is>
      </c>
      <c r="G1" s="4" t="inlineStr">
        <is>
          <t>source_url</t>
        </is>
      </c>
      <c r="H1" s="4" t="inlineStr">
        <is>
          <t>source_locator</t>
        </is>
      </c>
      <c r="I1" s="4" t="inlineStr">
        <is>
          <t>accessed_date</t>
        </is>
      </c>
      <c r="J1" s="4" t="inlineStr">
        <is>
          <t>original_text</t>
        </is>
      </c>
      <c r="K1" s="4" t="inlineStr">
        <is>
          <t>source_context</t>
        </is>
      </c>
      <c r="L1" s="4" t="inlineStr">
        <is>
          <t>screen_status</t>
        </is>
      </c>
      <c r="M1" s="4" t="inlineStr">
        <is>
          <t>screen_reason</t>
        </is>
      </c>
      <c r="N1" s="4" t="inlineStr">
        <is>
          <t>duplicate_family</t>
        </is>
      </c>
      <c r="O1" s="4" t="inlineStr">
        <is>
          <t>trigger_class</t>
        </is>
      </c>
      <c r="P1" s="4" t="inlineStr">
        <is>
          <t>temporal_class</t>
        </is>
      </c>
      <c r="Q1" s="4" t="inlineStr">
        <is>
          <t>control_class</t>
        </is>
      </c>
      <c r="R1" s="4" t="inlineStr">
        <is>
          <t>memory_class</t>
        </is>
      </c>
      <c r="S1" s="4" t="inlineStr">
        <is>
          <t>action_cardinality</t>
        </is>
      </c>
      <c r="T1" s="4" t="inlineStr">
        <is>
          <t>lifetime</t>
        </is>
      </c>
      <c r="U1" s="4" t="inlineStr">
        <is>
          <t>rb_preliminary</t>
        </is>
      </c>
      <c r="V1" s="4" t="inlineStr">
        <is>
          <t>rb_coder_1</t>
        </is>
      </c>
      <c r="W1" s="4" t="inlineStr">
        <is>
          <t>rb_coder_2</t>
        </is>
      </c>
      <c r="X1" s="4" t="inlineStr">
        <is>
          <t>rb_adjudicated</t>
        </is>
      </c>
      <c r="Y1" s="4" t="inlineStr">
        <is>
          <t>stage_a</t>
        </is>
      </c>
      <c r="Z1" s="4" t="inlineStr">
        <is>
          <t>depth_status</t>
        </is>
      </c>
      <c r="AA1" s="4" t="inlineStr">
        <is>
          <t>depth_rank</t>
        </is>
      </c>
      <c r="AB1" s="4" t="inlineStr">
        <is>
          <t>depth_reason</t>
        </is>
      </c>
      <c r="AC1" s="4" t="inlineStr">
        <is>
          <t>ambiguity_for_user</t>
        </is>
      </c>
      <c r="AD1" s="4" t="inlineStr">
        <is>
          <t>catalog_note</t>
        </is>
      </c>
      <c r="AE1" s="4" t="inlineStr">
        <is>
          <t>text_form</t>
        </is>
      </c>
      <c r="AF1" s="4" t="inlineStr">
        <is>
          <t>source_verification</t>
        </is>
      </c>
      <c r="AG1" s="4" t="inlineStr">
        <is>
          <t>notes</t>
        </is>
      </c>
      <c r="AH1" s="4" t="inlineStr">
        <is>
          <t>topic_family</t>
        </is>
      </c>
    </row>
    <row r="2" ht="45" customHeight="1">
      <c r="A2" s="3" t="inlineStr">
        <is>
          <t>E1-001</t>
        </is>
      </c>
      <c r="B2" s="3" t="inlineStr">
        <is>
          <t>seed</t>
        </is>
      </c>
      <c r="C2" s="3" t="inlineStr">
        <is>
          <t>C01</t>
        </is>
      </c>
      <c r="D2" s="3" t="inlineStr">
        <is>
          <t>official</t>
        </is>
      </c>
      <c r="E2" s="3" t="inlineStr">
        <is>
          <t>official example</t>
        </is>
      </c>
      <c r="F2" s="3" t="inlineStr">
        <is>
          <t>Home Assistant core, blueprints/motion_light.yaml</t>
        </is>
      </c>
      <c r="G2" s="5" t="inlineStr">
        <is>
          <t>https://github.com/home-assistant/core/blob/dev/homeassistant/components/automation/blueprints/motion_light.yaml</t>
        </is>
      </c>
      <c r="H2" s="3" t="inlineStr">
        <is>
          <t>blueprint.description; input.no_motion_wait.description; mode; actions</t>
        </is>
      </c>
      <c r="I2" s="3" t="inlineStr">
        <is>
          <t>2026-09-12</t>
        </is>
      </c>
      <c r="J2" s="3" t="inlineStr">
        <is>
          <t>description: "Turn on a light when motion is detected." / no_motion_wait: "Time to leave the light on after last motion is detected." / mode: restart / actions: light.turn_on -&gt; wait_for_trigger(motion on-&gt;off) -&gt; delay(no_motion_wait) -&gt; light.turn_off</t>
        </is>
      </c>
      <c r="K2" s="3" t="inlineStr"/>
      <c r="L2" s="3" t="inlineStr">
        <is>
          <t>IN_SCOPE</t>
        </is>
      </c>
      <c r="M2" s="3" t="inlineStr"/>
      <c r="N2" s="3" t="inlineStr"/>
      <c r="O2" s="3" t="inlineStr">
        <is>
          <t>event/state</t>
        </is>
      </c>
      <c r="P2" s="3" t="inlineStr">
        <is>
          <t>delay/order</t>
        </is>
      </c>
      <c r="Q2" s="3" t="inlineStr">
        <is>
          <t>guard/branch</t>
        </is>
      </c>
      <c r="R2" s="3" t="inlineStr">
        <is>
          <t>timestamp/prior-state</t>
        </is>
      </c>
      <c r="S2" s="3" t="inlineStr">
        <is>
          <t>single</t>
        </is>
      </c>
      <c r="T2" s="3" t="inlineStr">
        <is>
          <t>one-shot/unspecified</t>
        </is>
      </c>
      <c r="U2" s="3" t="inlineStr">
        <is>
          <t>R1, R3, R7, B1</t>
        </is>
      </c>
      <c r="V2" s="3" t="inlineStr"/>
      <c r="W2" s="3" t="inlineStr"/>
      <c r="X2" s="3" t="inlineStr">
        <is>
          <t>R1, R3, R7, B1</t>
        </is>
      </c>
      <c r="Y2" s="3" t="inlineStr">
        <is>
          <t>yes</t>
        </is>
      </c>
      <c r="Z2" s="3" t="inlineStr">
        <is>
          <t>completed_seed</t>
        </is>
      </c>
      <c r="AA2" s="3" t="inlineStr"/>
      <c r="AB2" s="3" t="inlineStr"/>
      <c r="AC2" s="3" t="inlineStr"/>
      <c r="AD2" s="3" t="inlineStr"/>
      <c r="AE2" s="3" t="inlineStr">
        <is>
          <t>REPO_VERIFIED_SOURCE_EXCERPT</t>
        </is>
      </c>
      <c r="AF2" s="3" t="inlineStr">
        <is>
          <t>SERVER_CHECKED_2026-09-13; CORRECTED</t>
        </is>
      </c>
      <c r="AG2" s="3" t="inlineStr">
        <is>
          <t>Stage A selection was a work-unit decision; no statistical sample-size rationale is claimed.</t>
        </is>
      </c>
      <c r="AH2" s="3" t="inlineStr"/>
    </row>
    <row r="3" ht="45" customHeight="1">
      <c r="A3" s="3" t="inlineStr">
        <is>
          <t>E1-002</t>
        </is>
      </c>
      <c r="B3" s="3" t="inlineStr">
        <is>
          <t>seed</t>
        </is>
      </c>
      <c r="C3" s="3" t="inlineStr">
        <is>
          <t>C03</t>
        </is>
      </c>
      <c r="D3" s="3" t="inlineStr">
        <is>
          <t>research</t>
        </is>
      </c>
      <c r="E3" s="3" t="inlineStr">
        <is>
          <t>research example</t>
        </is>
      </c>
      <c r="F3" s="3" t="inlineStr">
        <is>
          <t>TAPInspector (arXiv 2102.01468v2) §V-D, IFTTT applet</t>
        </is>
      </c>
      <c r="G3" s="5" t="inlineStr">
        <is>
          <t>https://arxiv.org/html/2102.01468v2</t>
        </is>
      </c>
      <c r="H3" s="3" t="inlineStr">
        <is>
          <t>§V-D, extended-action violation example, applet r_i</t>
        </is>
      </c>
      <c r="I3" s="3" t="inlineStr">
        <is>
          <t>2026-09-12</t>
        </is>
      </c>
      <c r="J3" s="3" t="inlineStr">
        <is>
          <t>Turn on fan for 15 minutes when CO₂&gt;1000ppm</t>
        </is>
      </c>
      <c r="K3" s="3" t="inlineStr"/>
      <c r="L3" s="3" t="inlineStr">
        <is>
          <t>IN_SCOPE</t>
        </is>
      </c>
      <c r="M3" s="3" t="inlineStr"/>
      <c r="N3" s="3" t="inlineStr"/>
      <c r="O3" s="3" t="inlineStr">
        <is>
          <t>event/state; clock/calendar</t>
        </is>
      </c>
      <c r="P3" s="3" t="inlineStr">
        <is>
          <t>duration/window</t>
        </is>
      </c>
      <c r="Q3" s="3" t="inlineStr">
        <is>
          <t>guard/branch</t>
        </is>
      </c>
      <c r="R3" s="3" t="inlineStr">
        <is>
          <t>timestamp/prior-state</t>
        </is>
      </c>
      <c r="S3" s="3" t="inlineStr">
        <is>
          <t>single</t>
        </is>
      </c>
      <c r="T3" s="3" t="inlineStr">
        <is>
          <t>one-shot/unspecified</t>
        </is>
      </c>
      <c r="U3" s="3" t="inlineStr">
        <is>
          <t>R1, R2</t>
        </is>
      </c>
      <c r="V3" s="3" t="inlineStr"/>
      <c r="W3" s="3" t="inlineStr"/>
      <c r="X3" s="3" t="inlineStr">
        <is>
          <t>R1, R2</t>
        </is>
      </c>
      <c r="Y3" s="3" t="inlineStr">
        <is>
          <t>yes</t>
        </is>
      </c>
      <c r="Z3" s="3" t="inlineStr">
        <is>
          <t>completed_seed</t>
        </is>
      </c>
      <c r="AA3" s="3" t="inlineStr"/>
      <c r="AB3" s="3" t="inlineStr"/>
      <c r="AC3" s="3" t="inlineStr"/>
      <c r="AD3" s="3" t="inlineStr"/>
      <c r="AE3" s="3" t="inlineStr">
        <is>
          <t>REPO_VERIFIED_SOURCE_EXCERPT</t>
        </is>
      </c>
      <c r="AF3" s="3" t="inlineStr">
        <is>
          <t>SERVER_CHECKED_2026-09-13; CORRECTED</t>
        </is>
      </c>
      <c r="AG3" s="3" t="inlineStr">
        <is>
          <t>Stage A selection was a work-unit decision; no statistical sample-size rationale is claimed.</t>
        </is>
      </c>
      <c r="AH3" s="3" t="inlineStr"/>
    </row>
    <row r="4" ht="45" customHeight="1">
      <c r="A4" s="3" t="inlineStr">
        <is>
          <t>E1-003</t>
        </is>
      </c>
      <c r="B4" s="3" t="inlineStr">
        <is>
          <t>seed</t>
        </is>
      </c>
      <c r="C4" s="3" t="inlineStr">
        <is>
          <t>C04</t>
        </is>
      </c>
      <c r="D4" s="3" t="inlineStr">
        <is>
          <t>research</t>
        </is>
      </c>
      <c r="E4" s="3" t="inlineStr">
        <is>
          <t>research example</t>
        </is>
      </c>
      <c r="F4" s="3" t="inlineStr">
        <is>
          <t>TAPInspector (arXiv 2102.01468v2) §V-D, IFTTT applet</t>
        </is>
      </c>
      <c r="G4" s="5" t="inlineStr">
        <is>
          <t>https://arxiv.org/html/2102.01468v2</t>
        </is>
      </c>
      <c r="H4" s="3" t="inlineStr">
        <is>
          <t>§V-D, extended-action violation example, applet r_j</t>
        </is>
      </c>
      <c r="I4" s="3" t="inlineStr">
        <is>
          <t>2026-09-12</t>
        </is>
      </c>
      <c r="J4" s="3" t="inlineStr">
        <is>
          <t>At noon turn your fan on for 15 minutes</t>
        </is>
      </c>
      <c r="K4" s="3" t="inlineStr"/>
      <c r="L4" s="3" t="inlineStr">
        <is>
          <t>IN_SCOPE</t>
        </is>
      </c>
      <c r="M4" s="3" t="inlineStr"/>
      <c r="N4" s="3" t="inlineStr"/>
      <c r="O4" s="3" t="inlineStr">
        <is>
          <t>clock/calendar</t>
        </is>
      </c>
      <c r="P4" s="3" t="inlineStr">
        <is>
          <t>duration/window</t>
        </is>
      </c>
      <c r="Q4" s="3" t="inlineStr">
        <is>
          <t>straight-line/unspecified</t>
        </is>
      </c>
      <c r="R4" s="3" t="inlineStr">
        <is>
          <t>timestamp/prior-state</t>
        </is>
      </c>
      <c r="S4" s="3" t="inlineStr">
        <is>
          <t>single</t>
        </is>
      </c>
      <c r="T4" s="3" t="inlineStr">
        <is>
          <t>one-shot/unspecified</t>
        </is>
      </c>
      <c r="U4" s="3" t="inlineStr">
        <is>
          <t>R9, R2</t>
        </is>
      </c>
      <c r="V4" s="3" t="inlineStr"/>
      <c r="W4" s="3" t="inlineStr"/>
      <c r="X4" s="3" t="inlineStr">
        <is>
          <t>R9, R2</t>
        </is>
      </c>
      <c r="Y4" s="3" t="inlineStr">
        <is>
          <t>yes</t>
        </is>
      </c>
      <c r="Z4" s="3" t="inlineStr">
        <is>
          <t>completed_seed</t>
        </is>
      </c>
      <c r="AA4" s="3" t="inlineStr"/>
      <c r="AB4" s="3" t="inlineStr"/>
      <c r="AC4" s="3" t="inlineStr"/>
      <c r="AD4" s="3" t="inlineStr"/>
      <c r="AE4" s="3" t="inlineStr">
        <is>
          <t>REPO_VERIFIED_SOURCE_EXCERPT</t>
        </is>
      </c>
      <c r="AF4" s="3" t="inlineStr">
        <is>
          <t>SERVER_CHECKED_2026-09-13; CORRECTED</t>
        </is>
      </c>
      <c r="AG4" s="3" t="inlineStr">
        <is>
          <t>Stage A selection was a work-unit decision; no statistical sample-size rationale is claimed.</t>
        </is>
      </c>
      <c r="AH4" s="3" t="inlineStr"/>
    </row>
    <row r="5" ht="45" customHeight="1">
      <c r="A5" s="3" t="inlineStr">
        <is>
          <t>E1-004</t>
        </is>
      </c>
      <c r="B5" s="3" t="inlineStr">
        <is>
          <t>seed</t>
        </is>
      </c>
      <c r="C5" s="3" t="inlineStr">
        <is>
          <t>C05</t>
        </is>
      </c>
      <c r="D5" s="3" t="inlineStr">
        <is>
          <t>community</t>
        </is>
      </c>
      <c r="E5" s="3" t="inlineStr">
        <is>
          <t>user-authored naturalistic</t>
        </is>
      </c>
      <c r="F5" s="3" t="inlineStr">
        <is>
          <t>Home Assistant Community thread 520305: How to set notifications when door is left open?</t>
        </is>
      </c>
      <c r="G5" s="5" t="inlineStr">
        <is>
          <t>https://community.home-assistant.io/t/how-to-set-notifications-when-door-is-left-open/520305</t>
        </is>
      </c>
      <c r="H5" s="3" t="inlineStr">
        <is>
          <t>opening post (created 2023-01-17 UTC)</t>
        </is>
      </c>
      <c r="I5" s="3" t="inlineStr">
        <is>
          <t>2026-09-12</t>
        </is>
      </c>
      <c r="J5" s="3" t="inlineStr">
        <is>
          <t>set notification if door is left open for 2 minutes and if not closed after that it should send notifications each minute</t>
        </is>
      </c>
      <c r="K5" s="3" t="inlineStr"/>
      <c r="L5" s="3" t="inlineStr">
        <is>
          <t>IN_SCOPE</t>
        </is>
      </c>
      <c r="M5" s="3" t="inlineStr"/>
      <c r="N5" s="3" t="inlineStr"/>
      <c r="O5" s="3" t="inlineStr">
        <is>
          <t>event/state</t>
        </is>
      </c>
      <c r="P5" s="3" t="inlineStr">
        <is>
          <t>delay/order; duration/window</t>
        </is>
      </c>
      <c r="Q5" s="3" t="inlineStr">
        <is>
          <t>sequence/composition; guard/branch</t>
        </is>
      </c>
      <c r="R5" s="3" t="inlineStr">
        <is>
          <t>timestamp/prior-state</t>
        </is>
      </c>
      <c r="S5" s="3" t="inlineStr">
        <is>
          <t>multiple</t>
        </is>
      </c>
      <c r="T5" s="3" t="inlineStr">
        <is>
          <t>one-shot/unspecified</t>
        </is>
      </c>
      <c r="U5" s="3" t="inlineStr">
        <is>
          <t>R3, R7</t>
        </is>
      </c>
      <c r="V5" s="3" t="inlineStr"/>
      <c r="W5" s="3" t="inlineStr"/>
      <c r="X5" s="3" t="inlineStr">
        <is>
          <t>R3, R7</t>
        </is>
      </c>
      <c r="Y5" s="3" t="inlineStr">
        <is>
          <t>yes</t>
        </is>
      </c>
      <c r="Z5" s="3" t="inlineStr">
        <is>
          <t>completed_seed</t>
        </is>
      </c>
      <c r="AA5" s="3" t="inlineStr"/>
      <c r="AB5" s="3" t="inlineStr"/>
      <c r="AC5" s="3" t="inlineStr"/>
      <c r="AD5" s="3" t="inlineStr"/>
      <c r="AE5" s="3" t="inlineStr">
        <is>
          <t>REPO_VERIFIED_SOURCE_EXCERPT</t>
        </is>
      </c>
      <c r="AF5" s="3" t="inlineStr">
        <is>
          <t>SERVER_CHECKED_2026-09-13; CORRECTED</t>
        </is>
      </c>
      <c r="AG5" s="3" t="inlineStr">
        <is>
          <t>Stage A selection was a work-unit decision; no statistical sample-size rationale is claimed.</t>
        </is>
      </c>
      <c r="AH5" s="3" t="inlineStr"/>
    </row>
    <row r="6" ht="45" customHeight="1">
      <c r="A6" s="3" t="inlineStr">
        <is>
          <t>E1-005</t>
        </is>
      </c>
      <c r="B6" s="3" t="inlineStr">
        <is>
          <t>seed</t>
        </is>
      </c>
      <c r="C6" s="3" t="inlineStr">
        <is>
          <t>C07</t>
        </is>
      </c>
      <c r="D6" s="3" t="inlineStr">
        <is>
          <t>community</t>
        </is>
      </c>
      <c r="E6" s="3" t="inlineStr">
        <is>
          <t>user-authored naturalistic</t>
        </is>
      </c>
      <c r="F6" s="3" t="inlineStr">
        <is>
          <t>Home Assistant Community thread 783900: How to automate open door notifications?</t>
        </is>
      </c>
      <c r="G6" s="5" t="inlineStr">
        <is>
          <t>https://community.home-assistant.io/t/how-to-automate-open-door-notifications/783900</t>
        </is>
      </c>
      <c r="H6" s="3" t="inlineStr">
        <is>
          <t>opening post (created 2024-10-18 UTC)</t>
        </is>
      </c>
      <c r="I6" s="3" t="inlineStr">
        <is>
          <t>2026-09-12</t>
        </is>
      </c>
      <c r="J6" s="3" t="inlineStr">
        <is>
          <t>trigger: "garage door is left open after 22:00 for more than 10 minutes"; "Blink the kitchen lights by dimming up and down 10 times in quick succession"; "pause for 5 minutes"; "Repeat the cycle up to 7 times"; "If at any point during the blinking cycles, the garage door is closed, stop the automation immediately"; "Ensure the kitchen lights return to their original state ... after the automation ends or during the pauses"</t>
        </is>
      </c>
      <c r="K6" s="3" t="inlineStr"/>
      <c r="L6" s="3" t="inlineStr">
        <is>
          <t>IN_SCOPE</t>
        </is>
      </c>
      <c r="M6" s="3" t="inlineStr"/>
      <c r="N6" s="3" t="inlineStr"/>
      <c r="O6" s="3" t="inlineStr">
        <is>
          <t>event/state</t>
        </is>
      </c>
      <c r="P6" s="3" t="inlineStr">
        <is>
          <t>delay/order; duration/window; periodic/count</t>
        </is>
      </c>
      <c r="Q6" s="3" t="inlineStr">
        <is>
          <t>sequence/composition; guard/branch; repeat</t>
        </is>
      </c>
      <c r="R6" s="3" t="inlineStr">
        <is>
          <t>timestamp/prior-state</t>
        </is>
      </c>
      <c r="S6" s="3" t="inlineStr">
        <is>
          <t>multiple</t>
        </is>
      </c>
      <c r="T6" s="3" t="inlineStr">
        <is>
          <t>one-shot/unspecified</t>
        </is>
      </c>
      <c r="U6" s="3" t="inlineStr">
        <is>
          <t>R9, R3, R5, R8, B5, B1</t>
        </is>
      </c>
      <c r="V6" s="3" t="inlineStr"/>
      <c r="W6" s="3" t="inlineStr"/>
      <c r="X6" s="3" t="inlineStr">
        <is>
          <t>R9, R3, R5, R8, B5, B1</t>
        </is>
      </c>
      <c r="Y6" s="3" t="inlineStr">
        <is>
          <t>yes</t>
        </is>
      </c>
      <c r="Z6" s="3" t="inlineStr">
        <is>
          <t>completed_seed</t>
        </is>
      </c>
      <c r="AA6" s="3" t="inlineStr"/>
      <c r="AB6" s="3" t="inlineStr"/>
      <c r="AC6" s="3" t="inlineStr"/>
      <c r="AD6" s="3" t="inlineStr"/>
      <c r="AE6" s="3" t="inlineStr">
        <is>
          <t>REPO_VERIFIED_SOURCE_EXCERPT</t>
        </is>
      </c>
      <c r="AF6" s="3" t="inlineStr">
        <is>
          <t>SERVER_CHECKED_2026-09-13; CORRECTED</t>
        </is>
      </c>
      <c r="AG6" s="3" t="inlineStr">
        <is>
          <t>Stage A selection was a work-unit decision; no statistical sample-size rationale is claimed.</t>
        </is>
      </c>
      <c r="AH6" s="3" t="inlineStr"/>
    </row>
    <row r="7" ht="45" customHeight="1">
      <c r="A7" s="3" t="inlineStr">
        <is>
          <t>E1-006</t>
        </is>
      </c>
      <c r="B7" s="3" t="inlineStr">
        <is>
          <t>seed</t>
        </is>
      </c>
      <c r="C7" s="3" t="inlineStr">
        <is>
          <t>C09</t>
        </is>
      </c>
      <c r="D7" s="3" t="inlineStr">
        <is>
          <t>elicited</t>
        </is>
      </c>
      <c r="E7" s="3" t="inlineStr">
        <is>
          <t>user-study elicited</t>
        </is>
      </c>
      <c r="F7" s="3" t="inlineStr">
        <is>
          <t>AutoTap (ICSE 2019) §III, Event-Event Conditional sample</t>
        </is>
      </c>
      <c r="G7" s="5" t="inlineStr">
        <is>
          <t>https://homes.cs.washington.edu/~jessejm/data/ZhangICSE2019.pdf</t>
        </is>
      </c>
      <c r="H7" s="3" t="inlineStr">
        <is>
          <t>§III template (g) Event-Event Conditional sample response; same statement in User Study 1 data, Result sheet, Excel row 16, column AM (header 1_Q25, statement 1)</t>
        </is>
      </c>
      <c r="I7" s="3" t="inlineStr">
        <is>
          <t>2026-09-12</t>
        </is>
      </c>
      <c r="J7" s="3" t="inlineStr">
        <is>
          <t>My smart door lock should always lock after I come in.</t>
        </is>
      </c>
      <c r="K7" s="3" t="inlineStr"/>
      <c r="L7" s="3" t="inlineStr">
        <is>
          <t>IN_SCOPE</t>
        </is>
      </c>
      <c r="M7" s="3" t="inlineStr"/>
      <c r="N7" s="3" t="inlineStr"/>
      <c r="O7" s="3" t="inlineStr">
        <is>
          <t>unspecified</t>
        </is>
      </c>
      <c r="P7" s="3" t="inlineStr">
        <is>
          <t>delay/order</t>
        </is>
      </c>
      <c r="Q7" s="3" t="inlineStr">
        <is>
          <t>straight-line/unspecified</t>
        </is>
      </c>
      <c r="R7" s="3" t="inlineStr">
        <is>
          <t>timestamp/prior-state</t>
        </is>
      </c>
      <c r="S7" s="3" t="inlineStr">
        <is>
          <t>single</t>
        </is>
      </c>
      <c r="T7" s="3" t="inlineStr">
        <is>
          <t>recurring</t>
        </is>
      </c>
      <c r="U7" s="3" t="inlineStr">
        <is>
          <t>R1, R4</t>
        </is>
      </c>
      <c r="V7" s="3" t="inlineStr"/>
      <c r="W7" s="3" t="inlineStr"/>
      <c r="X7" s="3" t="inlineStr">
        <is>
          <t>R1, R4</t>
        </is>
      </c>
      <c r="Y7" s="3" t="inlineStr">
        <is>
          <t>yes</t>
        </is>
      </c>
      <c r="Z7" s="3" t="inlineStr">
        <is>
          <t>completed_seed</t>
        </is>
      </c>
      <c r="AA7" s="3" t="inlineStr"/>
      <c r="AB7" s="3" t="inlineStr"/>
      <c r="AC7" s="3" t="inlineStr"/>
      <c r="AD7" s="3" t="inlineStr"/>
      <c r="AE7" s="3" t="inlineStr">
        <is>
          <t>REPO_VERIFIED_SOURCE_EXCERPT</t>
        </is>
      </c>
      <c r="AF7" s="3" t="inlineStr">
        <is>
          <t>SERVER_CHECKED_2026-09-13; CORRECTED</t>
        </is>
      </c>
      <c r="AG7" s="3" t="inlineStr">
        <is>
          <t>Stage A selection was a work-unit decision; no statistical sample-size rationale is claimed.</t>
        </is>
      </c>
      <c r="AH7" s="3" t="inlineStr"/>
    </row>
    <row r="8" ht="45" customHeight="1">
      <c r="A8" s="3" t="inlineStr">
        <is>
          <t>E1-007</t>
        </is>
      </c>
      <c r="B8" s="3" t="inlineStr">
        <is>
          <t>seed</t>
        </is>
      </c>
      <c r="C8" s="3" t="inlineStr">
        <is>
          <t>C11</t>
        </is>
      </c>
      <c r="D8" s="3" t="inlineStr">
        <is>
          <t>research</t>
        </is>
      </c>
      <c r="E8" s="3" t="inlineStr">
        <is>
          <t>research example</t>
        </is>
      </c>
      <c r="F8" s="3" t="inlineStr">
        <is>
          <t>AutoTap (ICSE 2019) §VI-A Task 11 and authors' rule explanation</t>
        </is>
      </c>
      <c r="G8" s="5" t="inlineStr">
        <is>
          <t>https://homes.cs.washington.edu/~jessejm/data/ZhangICSE2019.pdf</t>
        </is>
      </c>
      <c r="H8" s="3" t="inlineStr">
        <is>
          <t>§VI-A Task 11, with the authors' rule explanation</t>
        </is>
      </c>
      <c r="I8" s="3" t="inlineStr">
        <is>
          <t>2026-09-12</t>
        </is>
      </c>
      <c r="J8" s="3" t="inlineStr">
        <is>
          <t>"IF Roomba becomes on WHILE the curtain is open, THEN close the curtain; IF curtain becomes open WHILE Roomba is on, THEN turn off Roomba" (property: "Roomba is on should NEVER be active WHILE curtain is open")</t>
        </is>
      </c>
      <c r="K8" s="3" t="inlineStr"/>
      <c r="L8" s="3" t="inlineStr">
        <is>
          <t>IN_SCOPE</t>
        </is>
      </c>
      <c r="M8" s="3" t="inlineStr"/>
      <c r="N8" s="3" t="inlineStr"/>
      <c r="O8" s="3" t="inlineStr">
        <is>
          <t>event/state</t>
        </is>
      </c>
      <c r="P8" s="3" t="inlineStr">
        <is>
          <t>immediate/unspecified</t>
        </is>
      </c>
      <c r="Q8" s="3" t="inlineStr">
        <is>
          <t>sequence/composition; guard/branch</t>
        </is>
      </c>
      <c r="R8" s="3" t="inlineStr">
        <is>
          <t>none/unspecified</t>
        </is>
      </c>
      <c r="S8" s="3" t="inlineStr">
        <is>
          <t>single</t>
        </is>
      </c>
      <c r="T8" s="3" t="inlineStr">
        <is>
          <t>recurring</t>
        </is>
      </c>
      <c r="U8" s="3" t="inlineStr">
        <is>
          <t>R1, B2</t>
        </is>
      </c>
      <c r="V8" s="3" t="inlineStr"/>
      <c r="W8" s="3" t="inlineStr"/>
      <c r="X8" s="3" t="inlineStr">
        <is>
          <t>R1, B2</t>
        </is>
      </c>
      <c r="Y8" s="3" t="inlineStr">
        <is>
          <t>yes</t>
        </is>
      </c>
      <c r="Z8" s="3" t="inlineStr">
        <is>
          <t>completed_seed</t>
        </is>
      </c>
      <c r="AA8" s="3" t="inlineStr"/>
      <c r="AB8" s="3" t="inlineStr"/>
      <c r="AC8" s="3" t="inlineStr"/>
      <c r="AD8" s="3" t="inlineStr"/>
      <c r="AE8" s="3" t="inlineStr">
        <is>
          <t>REPO_VERIFIED_SOURCE_EXCERPT</t>
        </is>
      </c>
      <c r="AF8" s="3" t="inlineStr">
        <is>
          <t>SERVER_CHECKED_2026-09-13; CORRECTED</t>
        </is>
      </c>
      <c r="AG8" s="3" t="inlineStr">
        <is>
          <t>Stage A selection was a work-unit decision; no statistical sample-size rationale is claimed.</t>
        </is>
      </c>
      <c r="AH8" s="3" t="inlineStr"/>
    </row>
    <row r="9" ht="45" customHeight="1">
      <c r="A9" s="3" t="inlineStr">
        <is>
          <t>E1-008</t>
        </is>
      </c>
      <c r="B9" s="3" t="inlineStr">
        <is>
          <t>seed</t>
        </is>
      </c>
      <c r="C9" s="3" t="inlineStr">
        <is>
          <t>C15</t>
        </is>
      </c>
      <c r="D9" s="3" t="inlineStr">
        <is>
          <t>research</t>
        </is>
      </c>
      <c r="E9" s="3" t="inlineStr">
        <is>
          <t>paper-reported participant quote</t>
        </is>
      </c>
      <c r="F9" s="3" t="inlineStr">
        <is>
          <t>Ur et al., Practical Trigger-Action Programming in the Smart Home (CHI 2014), participant quote</t>
        </is>
      </c>
      <c r="G9" s="5" t="inlineStr">
        <is>
          <t>https://www.blaseur.com/papers/TriggerActionCHI14.pdf</t>
        </is>
      </c>
      <c r="H9" s="3" t="inlineStr">
        <is>
          <t>Results, trigger/action structure paragraph ('one participant specified')</t>
        </is>
      </c>
      <c r="I9" s="3" t="inlineStr">
        <is>
          <t>2026-09-12</t>
        </is>
      </c>
      <c r="J9" s="3" t="inlineStr">
        <is>
          <t>When I get up at night, I would want my lights to turn on and off as I enter and exit the room.</t>
        </is>
      </c>
      <c r="K9" s="3" t="inlineStr"/>
      <c r="L9" s="3" t="inlineStr">
        <is>
          <t>IN_SCOPE</t>
        </is>
      </c>
      <c r="M9" s="3" t="inlineStr"/>
      <c r="N9" s="3" t="inlineStr"/>
      <c r="O9" s="3" t="inlineStr">
        <is>
          <t>event/state; clock/calendar</t>
        </is>
      </c>
      <c r="P9" s="3" t="inlineStr">
        <is>
          <t>immediate/unspecified</t>
        </is>
      </c>
      <c r="Q9" s="3" t="inlineStr">
        <is>
          <t>sequence/composition; guard/branch</t>
        </is>
      </c>
      <c r="R9" s="3" t="inlineStr">
        <is>
          <t>none/unspecified</t>
        </is>
      </c>
      <c r="S9" s="3" t="inlineStr">
        <is>
          <t>multiple</t>
        </is>
      </c>
      <c r="T9" s="3" t="inlineStr">
        <is>
          <t>one-shot/unspecified</t>
        </is>
      </c>
      <c r="U9" s="3" t="inlineStr">
        <is>
          <t>R4, R7, R9</t>
        </is>
      </c>
      <c r="V9" s="3" t="inlineStr"/>
      <c r="W9" s="3" t="inlineStr"/>
      <c r="X9" s="3" t="inlineStr">
        <is>
          <t>R4, R7, R9</t>
        </is>
      </c>
      <c r="Y9" s="3" t="inlineStr">
        <is>
          <t>yes</t>
        </is>
      </c>
      <c r="Z9" s="3" t="inlineStr">
        <is>
          <t>completed_seed</t>
        </is>
      </c>
      <c r="AA9" s="3" t="inlineStr"/>
      <c r="AB9" s="3" t="inlineStr"/>
      <c r="AC9" s="3" t="inlineStr"/>
      <c r="AD9" s="3" t="inlineStr"/>
      <c r="AE9" s="3" t="inlineStr">
        <is>
          <t>REPO_VERIFIED_SOURCE_EXCERPT</t>
        </is>
      </c>
      <c r="AF9" s="3" t="inlineStr">
        <is>
          <t>SERVER_CHECKED_2026-09-13; CORRECTED</t>
        </is>
      </c>
      <c r="AG9" s="3" t="inlineStr">
        <is>
          <t>Stage A selection was a work-unit decision; no statistical sample-size rationale is claimed.</t>
        </is>
      </c>
      <c r="AH9" s="3" t="inlineStr"/>
    </row>
    <row r="10" ht="45" customHeight="1">
      <c r="A10" s="3" t="inlineStr">
        <is>
          <t>E1-009</t>
        </is>
      </c>
      <c r="B10" s="3" t="inlineStr">
        <is>
          <t>seed</t>
        </is>
      </c>
      <c r="C10" s="3" t="inlineStr">
        <is>
          <t>C16</t>
        </is>
      </c>
      <c r="D10" s="3" t="inlineStr">
        <is>
          <t>research</t>
        </is>
      </c>
      <c r="E10" s="3" t="inlineStr">
        <is>
          <t>study task</t>
        </is>
      </c>
      <c r="F10" s="3" t="inlineStr">
        <is>
          <t>Ur et al. (CHI 2014) Table 1, Task I</t>
        </is>
      </c>
      <c r="G10" s="5" t="inlineStr">
        <is>
          <t>https://www.blaseur.com/papers/TriggerActionCHI14.pdf</t>
        </is>
      </c>
      <c r="H10" s="3" t="inlineStr">
        <is>
          <t>Table 1, Task I</t>
        </is>
      </c>
      <c r="I10" s="3" t="inlineStr">
        <is>
          <t>2026-09-12</t>
        </is>
      </c>
      <c r="J10" s="3" t="inlineStr">
        <is>
          <t>If it is 10:00pm and my bedroom door is closed and the lights are off, turn the television off.</t>
        </is>
      </c>
      <c r="K10" s="3" t="inlineStr"/>
      <c r="L10" s="3" t="inlineStr">
        <is>
          <t>IN_SCOPE</t>
        </is>
      </c>
      <c r="M10" s="3" t="inlineStr"/>
      <c r="N10" s="3" t="inlineStr"/>
      <c r="O10" s="3" t="inlineStr">
        <is>
          <t>event/state; clock/calendar</t>
        </is>
      </c>
      <c r="P10" s="3" t="inlineStr">
        <is>
          <t>immediate/unspecified</t>
        </is>
      </c>
      <c r="Q10" s="3" t="inlineStr">
        <is>
          <t>sequence/composition; guard/branch</t>
        </is>
      </c>
      <c r="R10" s="3" t="inlineStr">
        <is>
          <t>none/unspecified</t>
        </is>
      </c>
      <c r="S10" s="3" t="inlineStr">
        <is>
          <t>multiple</t>
        </is>
      </c>
      <c r="T10" s="3" t="inlineStr">
        <is>
          <t>one-shot/unspecified</t>
        </is>
      </c>
      <c r="U10" s="3" t="inlineStr">
        <is>
          <t>R9, R6</t>
        </is>
      </c>
      <c r="V10" s="3" t="inlineStr"/>
      <c r="W10" s="3" t="inlineStr"/>
      <c r="X10" s="3" t="inlineStr">
        <is>
          <t>R9, R6</t>
        </is>
      </c>
      <c r="Y10" s="3" t="inlineStr">
        <is>
          <t>yes</t>
        </is>
      </c>
      <c r="Z10" s="3" t="inlineStr">
        <is>
          <t>completed_seed</t>
        </is>
      </c>
      <c r="AA10" s="3" t="inlineStr"/>
      <c r="AB10" s="3" t="inlineStr"/>
      <c r="AC10" s="3" t="inlineStr"/>
      <c r="AD10" s="3" t="inlineStr"/>
      <c r="AE10" s="3" t="inlineStr">
        <is>
          <t>REPO_VERIFIED_SOURCE_EXCERPT</t>
        </is>
      </c>
      <c r="AF10" s="3" t="inlineStr">
        <is>
          <t>SERVER_CHECKED_2026-09-13; CORRECTED</t>
        </is>
      </c>
      <c r="AG10" s="3" t="inlineStr">
        <is>
          <t>Stage A selection was a work-unit decision; no statistical sample-size rationale is claimed.</t>
        </is>
      </c>
      <c r="AH10" s="3" t="inlineStr"/>
    </row>
    <row r="11" ht="45" customHeight="1">
      <c r="A11" s="3" t="inlineStr">
        <is>
          <t>E1-010</t>
        </is>
      </c>
      <c r="B11" s="3" t="inlineStr">
        <is>
          <t>seed</t>
        </is>
      </c>
      <c r="C11" s="3" t="inlineStr">
        <is>
          <t>C18</t>
        </is>
      </c>
      <c r="D11" s="3" t="inlineStr">
        <is>
          <t>research</t>
        </is>
      </c>
      <c r="E11" s="3" t="inlineStr">
        <is>
          <t>study task</t>
        </is>
      </c>
      <c r="F11" s="3" t="inlineStr">
        <is>
          <t>Huang &amp; Cakmak, Supporting Mental Model Accuracy in TAP (UbiComp 2015), Table 5 Q3</t>
        </is>
      </c>
      <c r="G11" s="5" t="inlineStr">
        <is>
          <t>https://homes.cs.washington.edu/~mcakmak/pdfs/2015/huang2015ubicomp.pdf</t>
        </is>
      </c>
      <c r="H11" s="3" t="inlineStr">
        <is>
          <t>Table 5, Q3</t>
        </is>
      </c>
      <c r="I11" s="3" t="inlineStr">
        <is>
          <t>2026-09-12</t>
        </is>
      </c>
      <c r="J11" s="3" t="inlineStr">
        <is>
          <t>If the doorbell rings and the time is 3:00 pm, then unlock the front door for 10 seconds</t>
        </is>
      </c>
      <c r="K11" s="3" t="inlineStr"/>
      <c r="L11" s="3" t="inlineStr">
        <is>
          <t>IN_SCOPE</t>
        </is>
      </c>
      <c r="M11" s="3" t="inlineStr"/>
      <c r="N11" s="3" t="inlineStr"/>
      <c r="O11" s="3" t="inlineStr">
        <is>
          <t>event/state; clock/calendar</t>
        </is>
      </c>
      <c r="P11" s="3" t="inlineStr">
        <is>
          <t>duration/window</t>
        </is>
      </c>
      <c r="Q11" s="3" t="inlineStr">
        <is>
          <t>sequence/composition; guard/branch</t>
        </is>
      </c>
      <c r="R11" s="3" t="inlineStr">
        <is>
          <t>timestamp/prior-state</t>
        </is>
      </c>
      <c r="S11" s="3" t="inlineStr">
        <is>
          <t>multiple</t>
        </is>
      </c>
      <c r="T11" s="3" t="inlineStr">
        <is>
          <t>one-shot/unspecified</t>
        </is>
      </c>
      <c r="U11" s="3" t="inlineStr">
        <is>
          <t>R1, R9, R2</t>
        </is>
      </c>
      <c r="V11" s="3" t="inlineStr"/>
      <c r="W11" s="3" t="inlineStr"/>
      <c r="X11" s="3" t="inlineStr">
        <is>
          <t>R1, R9, R2</t>
        </is>
      </c>
      <c r="Y11" s="3" t="inlineStr">
        <is>
          <t>yes</t>
        </is>
      </c>
      <c r="Z11" s="3" t="inlineStr">
        <is>
          <t>completed_seed</t>
        </is>
      </c>
      <c r="AA11" s="3" t="inlineStr"/>
      <c r="AB11" s="3" t="inlineStr"/>
      <c r="AC11" s="3" t="inlineStr"/>
      <c r="AD11" s="3" t="inlineStr"/>
      <c r="AE11" s="3" t="inlineStr">
        <is>
          <t>REPO_VERIFIED_SOURCE_EXCERPT</t>
        </is>
      </c>
      <c r="AF11" s="3" t="inlineStr">
        <is>
          <t>SERVER_CHECKED_2026-09-13; CORRECTED</t>
        </is>
      </c>
      <c r="AG11" s="3" t="inlineStr">
        <is>
          <t>Stage A selection was a work-unit decision; no statistical sample-size rationale is claimed.</t>
        </is>
      </c>
      <c r="AH11" s="3" t="inlineStr"/>
    </row>
    <row r="12" ht="45" customHeight="1">
      <c r="A12" s="3" t="inlineStr">
        <is>
          <t>E1-011</t>
        </is>
      </c>
      <c r="B12" s="3" t="inlineStr">
        <is>
          <t>seed</t>
        </is>
      </c>
      <c r="C12" s="3" t="inlineStr">
        <is>
          <t>C19</t>
        </is>
      </c>
      <c r="D12" s="3" t="inlineStr">
        <is>
          <t>research</t>
        </is>
      </c>
      <c r="E12" s="3" t="inlineStr">
        <is>
          <t>study task</t>
        </is>
      </c>
      <c r="F12" s="3" t="inlineStr">
        <is>
          <t>Huang &amp; Cakmak (UbiComp 2015), Table 4 P3</t>
        </is>
      </c>
      <c r="G12" s="5" t="inlineStr">
        <is>
          <t>https://homes.cs.washington.edu/~mcakmak/pdfs/2015/huang2015ubicomp.pdf</t>
        </is>
      </c>
      <c r="H12" s="3" t="inlineStr">
        <is>
          <t>Table 4, P3</t>
        </is>
      </c>
      <c r="I12" s="3" t="inlineStr">
        <is>
          <t>2026-09-12</t>
        </is>
      </c>
      <c r="J12" s="3" t="inlineStr">
        <is>
          <t>Your work starts at 9:00 am. On days when you get to work on time, you want to send an email to yourself saying "I got to work on time!"</t>
        </is>
      </c>
      <c r="K12" s="3" t="inlineStr"/>
      <c r="L12" s="3" t="inlineStr">
        <is>
          <t>IN_SCOPE</t>
        </is>
      </c>
      <c r="M12" s="3" t="inlineStr"/>
      <c r="N12" s="3" t="inlineStr"/>
      <c r="O12" s="3" t="inlineStr">
        <is>
          <t>event/state; clock/calendar</t>
        </is>
      </c>
      <c r="P12" s="3" t="inlineStr">
        <is>
          <t>immediate/unspecified</t>
        </is>
      </c>
      <c r="Q12" s="3" t="inlineStr">
        <is>
          <t>guard/branch</t>
        </is>
      </c>
      <c r="R12" s="3" t="inlineStr">
        <is>
          <t>none/unspecified</t>
        </is>
      </c>
      <c r="S12" s="3" t="inlineStr">
        <is>
          <t>single</t>
        </is>
      </c>
      <c r="T12" s="3" t="inlineStr">
        <is>
          <t>one-shot/unspecified</t>
        </is>
      </c>
      <c r="U12" s="3" t="inlineStr">
        <is>
          <t>R10, R9</t>
        </is>
      </c>
      <c r="V12" s="3" t="inlineStr"/>
      <c r="W12" s="3" t="inlineStr"/>
      <c r="X12" s="3" t="inlineStr">
        <is>
          <t>R10, R9</t>
        </is>
      </c>
      <c r="Y12" s="3" t="inlineStr">
        <is>
          <t>yes</t>
        </is>
      </c>
      <c r="Z12" s="3" t="inlineStr">
        <is>
          <t>completed_seed</t>
        </is>
      </c>
      <c r="AA12" s="3" t="inlineStr"/>
      <c r="AB12" s="3" t="inlineStr"/>
      <c r="AC12" s="3" t="inlineStr"/>
      <c r="AD12" s="3" t="inlineStr"/>
      <c r="AE12" s="3" t="inlineStr">
        <is>
          <t>REPO_VERIFIED_SOURCE_EXCERPT</t>
        </is>
      </c>
      <c r="AF12" s="3" t="inlineStr">
        <is>
          <t>SERVER_CHECKED_2026-09-13; CORRECTED</t>
        </is>
      </c>
      <c r="AG12" s="3" t="inlineStr">
        <is>
          <t>Stage A selection was a work-unit decision; no statistical sample-size rationale is claimed.</t>
        </is>
      </c>
      <c r="AH12" s="3" t="inlineStr"/>
    </row>
    <row r="13" ht="45" customHeight="1">
      <c r="A13" s="3" t="inlineStr">
        <is>
          <t>E1-012</t>
        </is>
      </c>
      <c r="B13" s="3" t="inlineStr">
        <is>
          <t>seed</t>
        </is>
      </c>
      <c r="C13" s="3" t="inlineStr">
        <is>
          <t>C20-O</t>
        </is>
      </c>
      <c r="D13" s="3" t="inlineStr">
        <is>
          <t>research</t>
        </is>
      </c>
      <c r="E13" s="3" t="inlineStr">
        <is>
          <t>study stimulus</t>
        </is>
      </c>
      <c r="F13" s="3" t="inlineStr">
        <is>
          <t>Brackenbury et al., How Users Interpret Bugs in TAP (CHI 2019), Table 1</t>
        </is>
      </c>
      <c r="G13" s="5" t="inlineStr">
        <is>
          <t>https://par.nsf.gov/biblio/10106413</t>
        </is>
      </c>
      <c r="H13" s="3" t="inlineStr">
        <is>
          <t>Table 1, Event-Event paradigm, second example (full text: https://par.nsf.gov/servlets/purl/10106413)</t>
        </is>
      </c>
      <c r="I13" s="3" t="inlineStr">
        <is>
          <t>2026-09-12</t>
        </is>
      </c>
      <c r="J13" s="3" t="inlineStr">
        <is>
          <t>IF Sally enters the bedroom AND AFTERWARDS the sun sets WITHIN 2 hours THEN turn on the bedroom lights.</t>
        </is>
      </c>
      <c r="K13" s="3" t="inlineStr"/>
      <c r="L13" s="3" t="inlineStr">
        <is>
          <t>IN_SCOPE</t>
        </is>
      </c>
      <c r="M13" s="3" t="inlineStr"/>
      <c r="N13" s="3" t="inlineStr"/>
      <c r="O13" s="3" t="inlineStr">
        <is>
          <t>event/state</t>
        </is>
      </c>
      <c r="P13" s="3" t="inlineStr">
        <is>
          <t>duration/window</t>
        </is>
      </c>
      <c r="Q13" s="3" t="inlineStr">
        <is>
          <t>sequence/composition; guard/branch</t>
        </is>
      </c>
      <c r="R13" s="3" t="inlineStr">
        <is>
          <t>timestamp/prior-state</t>
        </is>
      </c>
      <c r="S13" s="3" t="inlineStr">
        <is>
          <t>multiple</t>
        </is>
      </c>
      <c r="T13" s="3" t="inlineStr">
        <is>
          <t>one-shot/unspecified</t>
        </is>
      </c>
      <c r="U13" s="3" t="inlineStr">
        <is>
          <t>R1, R2, B1</t>
        </is>
      </c>
      <c r="V13" s="3" t="inlineStr"/>
      <c r="W13" s="3" t="inlineStr"/>
      <c r="X13" s="3" t="inlineStr">
        <is>
          <t>R1, R2, B1</t>
        </is>
      </c>
      <c r="Y13" s="3" t="inlineStr">
        <is>
          <t>yes</t>
        </is>
      </c>
      <c r="Z13" s="3" t="inlineStr">
        <is>
          <t>completed_seed</t>
        </is>
      </c>
      <c r="AA13" s="3" t="inlineStr"/>
      <c r="AB13" s="3" t="inlineStr"/>
      <c r="AC13" s="3" t="inlineStr"/>
      <c r="AD13" s="3" t="inlineStr"/>
      <c r="AE13" s="3" t="inlineStr">
        <is>
          <t>REPO_VERIFIED_SOURCE_EXCERPT</t>
        </is>
      </c>
      <c r="AF13" s="3" t="inlineStr">
        <is>
          <t>SERVER_CHECKED_2026-09-13; CORRECTED</t>
        </is>
      </c>
      <c r="AG13" s="3" t="inlineStr">
        <is>
          <t>Stage A selection was a work-unit decision; no statistical sample-size rationale is claimed.</t>
        </is>
      </c>
      <c r="AH13" s="3" t="inlineStr"/>
    </row>
    <row r="14" ht="45" customHeight="1">
      <c r="A14" s="3" t="inlineStr">
        <is>
          <t>E1-013</t>
        </is>
      </c>
      <c r="B14" s="3" t="inlineStr">
        <is>
          <t>new</t>
        </is>
      </c>
      <c r="C14" s="3" t="inlineStr"/>
      <c r="D14" s="3" t="inlineStr">
        <is>
          <t>elicited</t>
        </is>
      </c>
      <c r="E14" s="3" t="inlineStr">
        <is>
          <t>user-study elicited</t>
        </is>
      </c>
      <c r="F14" s="3" t="inlineStr">
        <is>
          <t>AutoTap ICSE 2019 — User Study 1 public data</t>
        </is>
      </c>
      <c r="G14" s="5" t="inlineStr">
        <is>
          <t>https://github.com/zlfben/autotap/blob/master/data/Data%20-%20User%20Study%201.xlsx</t>
        </is>
      </c>
      <c r="H14" s="3" t="inlineStr">
        <is>
          <t>Result sheet, Excel row 4, column BG (header 5_Q25, statement 5)</t>
        </is>
      </c>
      <c r="I14" s="3" t="inlineStr">
        <is>
          <t>2026-09-13</t>
        </is>
      </c>
      <c r="J14" s="3" t="inlineStr">
        <is>
          <t>the smart stove should automatically shut off if it detects no pot or anything for more than 5 minutes</t>
        </is>
      </c>
      <c r="K14" s="3" t="inlineStr">
        <is>
          <t>ReleaseData=Yes; saw_examples=yes; exception_response=none</t>
        </is>
      </c>
      <c r="L14" s="3" t="inlineStr">
        <is>
          <t>IN_SCOPE</t>
        </is>
      </c>
      <c r="M14" s="3" t="inlineStr"/>
      <c r="N14" s="3" t="inlineStr"/>
      <c r="O14" s="3" t="inlineStr">
        <is>
          <t>event/state</t>
        </is>
      </c>
      <c r="P14" s="3" t="inlineStr">
        <is>
          <t>duration/window</t>
        </is>
      </c>
      <c r="Q14" s="3" t="inlineStr">
        <is>
          <t>guard/branch</t>
        </is>
      </c>
      <c r="R14" s="3" t="inlineStr">
        <is>
          <t>timestamp/prior-state</t>
        </is>
      </c>
      <c r="S14" s="3" t="inlineStr">
        <is>
          <t>single</t>
        </is>
      </c>
      <c r="T14" s="3" t="inlineStr">
        <is>
          <t>one-shot/unspecified</t>
        </is>
      </c>
      <c r="U14" s="3" t="inlineStr">
        <is>
          <t>R1, R3</t>
        </is>
      </c>
      <c r="V14" s="3" t="inlineStr"/>
      <c r="W14" s="3" t="inlineStr"/>
      <c r="X14" s="3" t="inlineStr">
        <is>
          <t>R1, R3</t>
        </is>
      </c>
      <c r="Y14" s="3" t="inlineStr">
        <is>
          <t>no</t>
        </is>
      </c>
      <c r="Z14" s="3" t="inlineStr">
        <is>
          <t>breadth_only_pending_depth_selection</t>
        </is>
      </c>
      <c r="AA14" s="3" t="inlineStr"/>
      <c r="AB14" s="3" t="inlineStr"/>
      <c r="AC14" s="3" t="inlineStr"/>
      <c r="AD14" s="3" t="inlineStr"/>
      <c r="AE14" s="3" t="inlineStr">
        <is>
          <t>VERBATIM_PUBLIC_STUDY_DATA</t>
        </is>
      </c>
      <c r="AF14" s="3" t="inlineStr">
        <is>
          <t>SERVER_CHECKED_2026-09-13; CORRECTED</t>
        </is>
      </c>
      <c r="AG14" s="3" t="inlineStr">
        <is>
          <t>Original spelling preserved.</t>
        </is>
      </c>
      <c r="AH14" s="3" t="inlineStr"/>
    </row>
    <row r="15" ht="45" customHeight="1">
      <c r="A15" s="3" t="inlineStr">
        <is>
          <t>E1-014</t>
        </is>
      </c>
      <c r="B15" s="3" t="inlineStr">
        <is>
          <t>new</t>
        </is>
      </c>
      <c r="C15" s="3" t="inlineStr"/>
      <c r="D15" s="3" t="inlineStr">
        <is>
          <t>elicited</t>
        </is>
      </c>
      <c r="E15" s="3" t="inlineStr">
        <is>
          <t>user-study elicited</t>
        </is>
      </c>
      <c r="F15" s="3" t="inlineStr">
        <is>
          <t>AutoTap ICSE 2019 — User Study 1 public data</t>
        </is>
      </c>
      <c r="G15" s="5" t="inlineStr">
        <is>
          <t>https://github.com/zlfben/autotap/blob/master/data/Data%20-%20User%20Study%201.xlsx</t>
        </is>
      </c>
      <c r="H15" s="3" t="inlineStr">
        <is>
          <t>Result sheet, Excel row 4, column BL (header 6_Q25, statement 6)</t>
        </is>
      </c>
      <c r="I15" s="3" t="inlineStr">
        <is>
          <t>2026-09-13</t>
        </is>
      </c>
      <c r="J15" s="3" t="inlineStr">
        <is>
          <t>the refridgerator should alarm if the door is open for longer than 5 minutes</t>
        </is>
      </c>
      <c r="K15" s="3" t="inlineStr">
        <is>
          <t>ReleaseData=Yes; saw_examples=yes; exception_response=none</t>
        </is>
      </c>
      <c r="L15" s="3" t="inlineStr">
        <is>
          <t>IN_SCOPE</t>
        </is>
      </c>
      <c r="M15" s="3" t="inlineStr"/>
      <c r="N15" s="3" t="inlineStr"/>
      <c r="O15" s="3" t="inlineStr">
        <is>
          <t>event/state</t>
        </is>
      </c>
      <c r="P15" s="3" t="inlineStr">
        <is>
          <t>duration/window</t>
        </is>
      </c>
      <c r="Q15" s="3" t="inlineStr">
        <is>
          <t>guard/branch</t>
        </is>
      </c>
      <c r="R15" s="3" t="inlineStr">
        <is>
          <t>timestamp/prior-state</t>
        </is>
      </c>
      <c r="S15" s="3" t="inlineStr">
        <is>
          <t>single</t>
        </is>
      </c>
      <c r="T15" s="3" t="inlineStr">
        <is>
          <t>one-shot/unspecified</t>
        </is>
      </c>
      <c r="U15" s="3" t="inlineStr">
        <is>
          <t>R1, R3</t>
        </is>
      </c>
      <c r="V15" s="3" t="inlineStr"/>
      <c r="W15" s="3" t="inlineStr"/>
      <c r="X15" s="3" t="inlineStr">
        <is>
          <t>R1, R3</t>
        </is>
      </c>
      <c r="Y15" s="3" t="inlineStr">
        <is>
          <t>no</t>
        </is>
      </c>
      <c r="Z15" s="3" t="inlineStr">
        <is>
          <t>breadth_only_pending_depth_selection</t>
        </is>
      </c>
      <c r="AA15" s="3" t="inlineStr"/>
      <c r="AB15" s="3" t="inlineStr"/>
      <c r="AC15" s="3" t="inlineStr"/>
      <c r="AD15" s="3" t="inlineStr"/>
      <c r="AE15" s="3" t="inlineStr">
        <is>
          <t>VERBATIM_PUBLIC_STUDY_DATA</t>
        </is>
      </c>
      <c r="AF15" s="3" t="inlineStr">
        <is>
          <t>SERVER_CHECKED_2026-09-13; CORRECTED</t>
        </is>
      </c>
      <c r="AG15" s="3" t="inlineStr">
        <is>
          <t>Original spelling preserved.</t>
        </is>
      </c>
      <c r="AH15" s="3" t="inlineStr"/>
    </row>
    <row r="16" ht="45" customHeight="1">
      <c r="A16" s="3" t="inlineStr">
        <is>
          <t>E1-015</t>
        </is>
      </c>
      <c r="B16" s="3" t="inlineStr">
        <is>
          <t>new</t>
        </is>
      </c>
      <c r="C16" s="3" t="inlineStr"/>
      <c r="D16" s="3" t="inlineStr">
        <is>
          <t>elicited</t>
        </is>
      </c>
      <c r="E16" s="3" t="inlineStr">
        <is>
          <t>user-study elicited</t>
        </is>
      </c>
      <c r="F16" s="3" t="inlineStr">
        <is>
          <t>AutoTap ICSE 2019 — User Study 1 public data</t>
        </is>
      </c>
      <c r="G16" s="5" t="inlineStr">
        <is>
          <t>https://github.com/zlfben/autotap/blob/master/data/Data%20-%20User%20Study%201.xlsx</t>
        </is>
      </c>
      <c r="H16" s="3" t="inlineStr">
        <is>
          <t>Result sheet, Excel row 4, column BQ (header 7_Q25, statement 7)</t>
        </is>
      </c>
      <c r="I16" s="3" t="inlineStr">
        <is>
          <t>2026-09-13</t>
        </is>
      </c>
      <c r="J16" s="3" t="inlineStr">
        <is>
          <t>the dishwasher should automatically start during off peak hours if set with soap</t>
        </is>
      </c>
      <c r="K16" s="3" t="inlineStr">
        <is>
          <t>ReleaseData=Yes; saw_examples=yes; exception_response=none</t>
        </is>
      </c>
      <c r="L16" s="3" t="inlineStr">
        <is>
          <t>AMBIGUOUS</t>
        </is>
      </c>
      <c r="M16" s="3" t="inlineStr">
        <is>
          <t>Key threshold/event semantics are not fixed by the source text.</t>
        </is>
      </c>
      <c r="N16" s="3" t="inlineStr"/>
      <c r="O16" s="3" t="inlineStr">
        <is>
          <t>event/state</t>
        </is>
      </c>
      <c r="P16" s="3" t="inlineStr">
        <is>
          <t>duration/window</t>
        </is>
      </c>
      <c r="Q16" s="3" t="inlineStr">
        <is>
          <t>guard/branch</t>
        </is>
      </c>
      <c r="R16" s="3" t="inlineStr">
        <is>
          <t>none/unspecified</t>
        </is>
      </c>
      <c r="S16" s="3" t="inlineStr">
        <is>
          <t>single</t>
        </is>
      </c>
      <c r="T16" s="3" t="inlineStr">
        <is>
          <t>one-shot/unspecified</t>
        </is>
      </c>
      <c r="U16" s="3" t="inlineStr">
        <is>
          <t>R1</t>
        </is>
      </c>
      <c r="V16" s="3" t="inlineStr"/>
      <c r="W16" s="3" t="inlineStr"/>
      <c r="X16" s="3" t="inlineStr">
        <is>
          <t>N/A</t>
        </is>
      </c>
      <c r="Y16" s="3" t="inlineStr">
        <is>
          <t>no</t>
        </is>
      </c>
      <c r="Z16" s="3" t="inlineStr">
        <is>
          <t>breadth_only_pending_depth_selection</t>
        </is>
      </c>
      <c r="AA16" s="3" t="inlineStr"/>
      <c r="AB16" s="3" t="inlineStr"/>
      <c r="AC16" s="3" t="inlineStr">
        <is>
          <t>Needs a case-specific interpretation question before any IR is written.</t>
        </is>
      </c>
      <c r="AD16" s="3" t="inlineStr"/>
      <c r="AE16" s="3" t="inlineStr">
        <is>
          <t>VERBATIM_PUBLIC_STUDY_DATA</t>
        </is>
      </c>
      <c r="AF16" s="3" t="inlineStr">
        <is>
          <t>SERVER_CHECKED_2026-09-13; CORRECTED</t>
        </is>
      </c>
      <c r="AG16" s="3" t="inlineStr">
        <is>
          <t>Original spelling preserved.</t>
        </is>
      </c>
      <c r="AH16" s="3" t="inlineStr"/>
    </row>
    <row r="17" ht="45" customHeight="1">
      <c r="A17" s="3" t="inlineStr">
        <is>
          <t>E1-016</t>
        </is>
      </c>
      <c r="B17" s="3" t="inlineStr">
        <is>
          <t>new</t>
        </is>
      </c>
      <c r="C17" s="3" t="inlineStr"/>
      <c r="D17" s="3" t="inlineStr">
        <is>
          <t>elicited</t>
        </is>
      </c>
      <c r="E17" s="3" t="inlineStr">
        <is>
          <t>user-study elicited</t>
        </is>
      </c>
      <c r="F17" s="3" t="inlineStr">
        <is>
          <t>AutoTap ICSE 2019 — User Study 1 public data</t>
        </is>
      </c>
      <c r="G17" s="5" t="inlineStr">
        <is>
          <t>https://github.com/zlfben/autotap/blob/master/data/Data%20-%20User%20Study%201.xlsx</t>
        </is>
      </c>
      <c r="H17" s="3" t="inlineStr">
        <is>
          <t>Result sheet, Excel row 6, column BV (header 8_Q25, statement 8)</t>
        </is>
      </c>
      <c r="I17" s="3" t="inlineStr">
        <is>
          <t>2026-09-13</t>
        </is>
      </c>
      <c r="J17" s="3" t="inlineStr">
        <is>
          <t>My smart vacuum should always return to its base to charge when low on power.</t>
        </is>
      </c>
      <c r="K17" s="3" t="inlineStr">
        <is>
          <t>ReleaseData=Yes; saw_examples=yes; exception_response=none</t>
        </is>
      </c>
      <c r="L17" s="3" t="inlineStr">
        <is>
          <t>IN_SCOPE</t>
        </is>
      </c>
      <c r="M17" s="3" t="inlineStr"/>
      <c r="N17" s="3" t="inlineStr"/>
      <c r="O17" s="3" t="inlineStr">
        <is>
          <t>event/state</t>
        </is>
      </c>
      <c r="P17" s="3" t="inlineStr">
        <is>
          <t>immediate/unspecified</t>
        </is>
      </c>
      <c r="Q17" s="3" t="inlineStr">
        <is>
          <t>guard/branch</t>
        </is>
      </c>
      <c r="R17" s="3" t="inlineStr">
        <is>
          <t>none/unspecified</t>
        </is>
      </c>
      <c r="S17" s="3" t="inlineStr">
        <is>
          <t>single</t>
        </is>
      </c>
      <c r="T17" s="3" t="inlineStr">
        <is>
          <t>recurring</t>
        </is>
      </c>
      <c r="U17" s="3" t="inlineStr">
        <is>
          <t>R1</t>
        </is>
      </c>
      <c r="V17" s="3" t="inlineStr"/>
      <c r="W17" s="3" t="inlineStr"/>
      <c r="X17" s="3" t="inlineStr">
        <is>
          <t>R1</t>
        </is>
      </c>
      <c r="Y17" s="3" t="inlineStr">
        <is>
          <t>no</t>
        </is>
      </c>
      <c r="Z17" s="3" t="inlineStr">
        <is>
          <t>breadth_only_pending_depth_selection</t>
        </is>
      </c>
      <c r="AA17" s="3" t="inlineStr"/>
      <c r="AB17" s="3" t="inlineStr"/>
      <c r="AC17" s="3" t="inlineStr"/>
      <c r="AD17" s="3" t="inlineStr"/>
      <c r="AE17" s="3" t="inlineStr">
        <is>
          <t>VERBATIM_PUBLIC_STUDY_DATA</t>
        </is>
      </c>
      <c r="AF17" s="3" t="inlineStr">
        <is>
          <t>SERVER_CHECKED_2026-09-13; CORRECTED</t>
        </is>
      </c>
      <c r="AG17" s="3" t="inlineStr">
        <is>
          <t>Original spelling preserved.</t>
        </is>
      </c>
      <c r="AH17" s="3" t="inlineStr"/>
    </row>
    <row r="18" ht="45" customHeight="1">
      <c r="A18" s="3" t="inlineStr">
        <is>
          <t>E1-017</t>
        </is>
      </c>
      <c r="B18" s="3" t="inlineStr">
        <is>
          <t>new</t>
        </is>
      </c>
      <c r="C18" s="3" t="inlineStr"/>
      <c r="D18" s="3" t="inlineStr">
        <is>
          <t>elicited</t>
        </is>
      </c>
      <c r="E18" s="3" t="inlineStr">
        <is>
          <t>user-study elicited</t>
        </is>
      </c>
      <c r="F18" s="3" t="inlineStr">
        <is>
          <t>AutoTap ICSE 2019 — User Study 1 public data</t>
        </is>
      </c>
      <c r="G18" s="5" t="inlineStr">
        <is>
          <t>https://github.com/zlfben/autotap/blob/master/data/Data%20-%20User%20Study%201.xlsx</t>
        </is>
      </c>
      <c r="H18" s="3" t="inlineStr">
        <is>
          <t>Result sheet, Excel row 7, column AM (header 1_Q25, statement 1)</t>
        </is>
      </c>
      <c r="I18" s="3" t="inlineStr">
        <is>
          <t>2026-09-13</t>
        </is>
      </c>
      <c r="J18" s="3" t="inlineStr">
        <is>
          <t>Device actions should be able to be interrupted by human interference.</t>
        </is>
      </c>
      <c r="K18" s="3" t="inlineStr">
        <is>
          <t>ReleaseData=Yes; saw_examples=no; exception_response=none</t>
        </is>
      </c>
      <c r="L18" s="3" t="inlineStr">
        <is>
          <t>AMBIGUOUS</t>
        </is>
      </c>
      <c r="M18" s="3" t="inlineStr">
        <is>
          <t>Key threshold/event semantics are not fixed by the source text.</t>
        </is>
      </c>
      <c r="N18" s="3" t="inlineStr"/>
      <c r="O18" s="3" t="inlineStr">
        <is>
          <t>unspecified</t>
        </is>
      </c>
      <c r="P18" s="3" t="inlineStr">
        <is>
          <t>immediate/unspecified</t>
        </is>
      </c>
      <c r="Q18" s="3" t="inlineStr">
        <is>
          <t>straight-line/unspecified</t>
        </is>
      </c>
      <c r="R18" s="3" t="inlineStr">
        <is>
          <t>none/unspecified</t>
        </is>
      </c>
      <c r="S18" s="3" t="inlineStr">
        <is>
          <t>single</t>
        </is>
      </c>
      <c r="T18" s="3" t="inlineStr">
        <is>
          <t>one-shot/unspecified</t>
        </is>
      </c>
      <c r="U18" s="3" t="inlineStr">
        <is>
          <t>UNCLASSIFIED</t>
        </is>
      </c>
      <c r="V18" s="3" t="inlineStr"/>
      <c r="W18" s="3" t="inlineStr"/>
      <c r="X18" s="3" t="inlineStr">
        <is>
          <t>N/A</t>
        </is>
      </c>
      <c r="Y18" s="3" t="inlineStr">
        <is>
          <t>no</t>
        </is>
      </c>
      <c r="Z18" s="3" t="inlineStr">
        <is>
          <t>breadth_only_pending_depth_selection</t>
        </is>
      </c>
      <c r="AA18" s="3" t="inlineStr"/>
      <c r="AB18" s="3" t="inlineStr"/>
      <c r="AC18" s="3" t="inlineStr">
        <is>
          <t>Needs a case-specific interpretation question before any IR is written.</t>
        </is>
      </c>
      <c r="AD18" s="3" t="inlineStr"/>
      <c r="AE18" s="3" t="inlineStr">
        <is>
          <t>VERBATIM_PUBLIC_STUDY_DATA</t>
        </is>
      </c>
      <c r="AF18" s="3" t="inlineStr">
        <is>
          <t>SERVER_CHECKED_2026-09-13; CORRECTED</t>
        </is>
      </c>
      <c r="AG18" s="3" t="inlineStr">
        <is>
          <t>Original spelling preserved.</t>
        </is>
      </c>
      <c r="AH18" s="3" t="inlineStr"/>
    </row>
    <row r="19" ht="45" customHeight="1">
      <c r="A19" s="3" t="inlineStr">
        <is>
          <t>E1-018</t>
        </is>
      </c>
      <c r="B19" s="3" t="inlineStr">
        <is>
          <t>new</t>
        </is>
      </c>
      <c r="C19" s="3" t="inlineStr"/>
      <c r="D19" s="3" t="inlineStr">
        <is>
          <t>elicited</t>
        </is>
      </c>
      <c r="E19" s="3" t="inlineStr">
        <is>
          <t>user-study elicited</t>
        </is>
      </c>
      <c r="F19" s="3" t="inlineStr">
        <is>
          <t>AutoTap ICSE 2019 — User Study 1 public data</t>
        </is>
      </c>
      <c r="G19" s="5" t="inlineStr">
        <is>
          <t>https://github.com/zlfben/autotap/blob/master/data/Data%20-%20User%20Study%201.xlsx</t>
        </is>
      </c>
      <c r="H19" s="3" t="inlineStr">
        <is>
          <t>Result sheet, Excel row 8, column AR (header 2_Q25, statement 2)</t>
        </is>
      </c>
      <c r="I19" s="3" t="inlineStr">
        <is>
          <t>2026-09-13</t>
        </is>
      </c>
      <c r="J19" s="3" t="inlineStr">
        <is>
          <t>Take a picture of anyone new that passees by the camera and send it as a notification to my phone.</t>
        </is>
      </c>
      <c r="K19" s="3" t="inlineStr">
        <is>
          <t>ReleaseData=Yes; saw_examples=yes; exception_response=If known guests are over or something.</t>
        </is>
      </c>
      <c r="L19" s="3" t="inlineStr">
        <is>
          <t>AMBIGUOUS</t>
        </is>
      </c>
      <c r="M19" s="3" t="inlineStr">
        <is>
          <t>Key threshold/event semantics are not fixed by the source text.</t>
        </is>
      </c>
      <c r="N19" s="3" t="inlineStr"/>
      <c r="O19" s="3" t="inlineStr">
        <is>
          <t>clock/calendar</t>
        </is>
      </c>
      <c r="P19" s="3" t="inlineStr">
        <is>
          <t>immediate/unspecified</t>
        </is>
      </c>
      <c r="Q19" s="3" t="inlineStr">
        <is>
          <t>sequence/composition</t>
        </is>
      </c>
      <c r="R19" s="3" t="inlineStr">
        <is>
          <t>none/unspecified</t>
        </is>
      </c>
      <c r="S19" s="3" t="inlineStr">
        <is>
          <t>multiple</t>
        </is>
      </c>
      <c r="T19" s="3" t="inlineStr">
        <is>
          <t>one-shot/unspecified</t>
        </is>
      </c>
      <c r="U19" s="3" t="inlineStr">
        <is>
          <t>R9</t>
        </is>
      </c>
      <c r="V19" s="3" t="inlineStr"/>
      <c r="W19" s="3" t="inlineStr"/>
      <c r="X19" s="3" t="inlineStr">
        <is>
          <t>N/A</t>
        </is>
      </c>
      <c r="Y19" s="3" t="inlineStr">
        <is>
          <t>no</t>
        </is>
      </c>
      <c r="Z19" s="3" t="inlineStr">
        <is>
          <t>breadth_only_pending_depth_selection</t>
        </is>
      </c>
      <c r="AA19" s="3" t="inlineStr"/>
      <c r="AB19" s="3" t="inlineStr"/>
      <c r="AC19" s="3" t="inlineStr">
        <is>
          <t>Needs a case-specific interpretation question before any IR is written.</t>
        </is>
      </c>
      <c r="AD19" s="3" t="inlineStr"/>
      <c r="AE19" s="3" t="inlineStr">
        <is>
          <t>VERBATIM_PUBLIC_STUDY_DATA</t>
        </is>
      </c>
      <c r="AF19" s="3" t="inlineStr">
        <is>
          <t>SERVER_CHECKED_2026-09-13; CORRECTED</t>
        </is>
      </c>
      <c r="AG19" s="3" t="inlineStr">
        <is>
          <t>Original spelling preserved.</t>
        </is>
      </c>
      <c r="AH19" s="3" t="inlineStr"/>
    </row>
    <row r="20" ht="45" customHeight="1">
      <c r="A20" s="3" t="inlineStr">
        <is>
          <t>E1-019</t>
        </is>
      </c>
      <c r="B20" s="3" t="inlineStr">
        <is>
          <t>new</t>
        </is>
      </c>
      <c r="C20" s="3" t="inlineStr"/>
      <c r="D20" s="3" t="inlineStr">
        <is>
          <t>elicited</t>
        </is>
      </c>
      <c r="E20" s="3" t="inlineStr">
        <is>
          <t>user-study elicited</t>
        </is>
      </c>
      <c r="F20" s="3" t="inlineStr">
        <is>
          <t>AutoTap ICSE 2019 — User Study 1 public data</t>
        </is>
      </c>
      <c r="G20" s="5" t="inlineStr">
        <is>
          <t>https://github.com/zlfben/autotap/blob/master/data/Data%20-%20User%20Study%201.xlsx</t>
        </is>
      </c>
      <c r="H20" s="3" t="inlineStr">
        <is>
          <t>Result sheet, Excel row 8, column AW (header 3_Q25, statement 3)</t>
        </is>
      </c>
      <c r="I20" s="3" t="inlineStr">
        <is>
          <t>2026-09-13</t>
        </is>
      </c>
      <c r="J20" s="3" t="inlineStr">
        <is>
          <t>Pause dishwasher if other devices need hot water.</t>
        </is>
      </c>
      <c r="K20" s="3" t="inlineStr">
        <is>
          <t>ReleaseData=Yes; saw_examples=yes; exception_response=none</t>
        </is>
      </c>
      <c r="L20" s="3" t="inlineStr">
        <is>
          <t>IN_SCOPE</t>
        </is>
      </c>
      <c r="M20" s="3" t="inlineStr"/>
      <c r="N20" s="3" t="inlineStr"/>
      <c r="O20" s="3" t="inlineStr">
        <is>
          <t>event/state</t>
        </is>
      </c>
      <c r="P20" s="3" t="inlineStr">
        <is>
          <t>immediate/unspecified</t>
        </is>
      </c>
      <c r="Q20" s="3" t="inlineStr">
        <is>
          <t>guard/branch</t>
        </is>
      </c>
      <c r="R20" s="3" t="inlineStr">
        <is>
          <t>none/unspecified</t>
        </is>
      </c>
      <c r="S20" s="3" t="inlineStr">
        <is>
          <t>single</t>
        </is>
      </c>
      <c r="T20" s="3" t="inlineStr">
        <is>
          <t>one-shot/unspecified</t>
        </is>
      </c>
      <c r="U20" s="3" t="inlineStr">
        <is>
          <t>R1</t>
        </is>
      </c>
      <c r="V20" s="3" t="inlineStr"/>
      <c r="W20" s="3" t="inlineStr"/>
      <c r="X20" s="3" t="inlineStr">
        <is>
          <t>R1</t>
        </is>
      </c>
      <c r="Y20" s="3" t="inlineStr">
        <is>
          <t>no</t>
        </is>
      </c>
      <c r="Z20" s="3" t="inlineStr">
        <is>
          <t>breadth_only_pending_depth_selection</t>
        </is>
      </c>
      <c r="AA20" s="3" t="inlineStr"/>
      <c r="AB20" s="3" t="inlineStr"/>
      <c r="AC20" s="3" t="inlineStr"/>
      <c r="AD20" s="3" t="inlineStr"/>
      <c r="AE20" s="3" t="inlineStr">
        <is>
          <t>VERBATIM_PUBLIC_STUDY_DATA</t>
        </is>
      </c>
      <c r="AF20" s="3" t="inlineStr">
        <is>
          <t>SERVER_CHECKED_2026-09-13; CORRECTED</t>
        </is>
      </c>
      <c r="AG20" s="3" t="inlineStr">
        <is>
          <t>Original spelling preserved.</t>
        </is>
      </c>
      <c r="AH20" s="3" t="inlineStr"/>
    </row>
    <row r="21" ht="45" customHeight="1">
      <c r="A21" s="3" t="inlineStr">
        <is>
          <t>E1-020</t>
        </is>
      </c>
      <c r="B21" s="3" t="inlineStr">
        <is>
          <t>new</t>
        </is>
      </c>
      <c r="C21" s="3" t="inlineStr"/>
      <c r="D21" s="3" t="inlineStr">
        <is>
          <t>elicited</t>
        </is>
      </c>
      <c r="E21" s="3" t="inlineStr">
        <is>
          <t>user-study elicited</t>
        </is>
      </c>
      <c r="F21" s="3" t="inlineStr">
        <is>
          <t>AutoTap ICSE 2019 — User Study 1 public data</t>
        </is>
      </c>
      <c r="G21" s="5" t="inlineStr">
        <is>
          <t>https://github.com/zlfben/autotap/blob/master/data/Data%20-%20User%20Study%201.xlsx</t>
        </is>
      </c>
      <c r="H21" s="3" t="inlineStr">
        <is>
          <t>Result sheet, Excel row 8, column BB (header 4_Q25, statement 4)</t>
        </is>
      </c>
      <c r="I21" s="3" t="inlineStr">
        <is>
          <t>2026-09-13</t>
        </is>
      </c>
      <c r="J21" s="3" t="inlineStr">
        <is>
          <t>Never run the washing machine and the dish washer at the same time.</t>
        </is>
      </c>
      <c r="K21" s="3" t="inlineStr">
        <is>
          <t>ReleaseData=Yes; saw_examples=yes; exception_response=none</t>
        </is>
      </c>
      <c r="L21" s="3" t="inlineStr">
        <is>
          <t>IN_SCOPE</t>
        </is>
      </c>
      <c r="M21" s="3" t="inlineStr"/>
      <c r="N21" s="3" t="inlineStr"/>
      <c r="O21" s="3" t="inlineStr">
        <is>
          <t>clock/calendar</t>
        </is>
      </c>
      <c r="P21" s="3" t="inlineStr">
        <is>
          <t>immediate/unspecified</t>
        </is>
      </c>
      <c r="Q21" s="3" t="inlineStr">
        <is>
          <t>sequence/composition; parallel</t>
        </is>
      </c>
      <c r="R21" s="3" t="inlineStr">
        <is>
          <t>none/unspecified</t>
        </is>
      </c>
      <c r="S21" s="3" t="inlineStr">
        <is>
          <t>multiple</t>
        </is>
      </c>
      <c r="T21" s="3" t="inlineStr">
        <is>
          <t>recurring</t>
        </is>
      </c>
      <c r="U21" s="3" t="inlineStr">
        <is>
          <t>R9, B2</t>
        </is>
      </c>
      <c r="V21" s="3" t="inlineStr"/>
      <c r="W21" s="3" t="inlineStr"/>
      <c r="X21" s="3" t="inlineStr">
        <is>
          <t>R1, R6</t>
        </is>
      </c>
      <c r="Y21" s="3" t="inlineStr">
        <is>
          <t>no</t>
        </is>
      </c>
      <c r="Z21" s="3" t="inlineStr">
        <is>
          <t>breadth_only_pending_depth_selection</t>
        </is>
      </c>
      <c r="AA21" s="3" t="inlineStr"/>
      <c r="AB21" s="3" t="inlineStr"/>
      <c r="AC21" s="3" t="inlineStr"/>
      <c r="AD21" s="3" t="inlineStr"/>
      <c r="AE21" s="3" t="inlineStr">
        <is>
          <t>VERBATIM_PUBLIC_STUDY_DATA</t>
        </is>
      </c>
      <c r="AF21" s="3" t="inlineStr">
        <is>
          <t>SERVER_CHECKED_2026-09-13; CORRECTED</t>
        </is>
      </c>
      <c r="AG21" s="3" t="inlineStr">
        <is>
          <t>Original spelling preserved. Author interpretation: if one of the two appliances is already running, a later start request for the other is not started. No notification action is added.</t>
        </is>
      </c>
      <c r="AH21" s="3" t="inlineStr"/>
    </row>
    <row r="22" ht="45" customHeight="1">
      <c r="A22" s="3" t="inlineStr">
        <is>
          <t>E1-021</t>
        </is>
      </c>
      <c r="B22" s="3" t="inlineStr">
        <is>
          <t>new</t>
        </is>
      </c>
      <c r="C22" s="3" t="inlineStr"/>
      <c r="D22" s="3" t="inlineStr">
        <is>
          <t>elicited</t>
        </is>
      </c>
      <c r="E22" s="3" t="inlineStr">
        <is>
          <t>user-study elicited</t>
        </is>
      </c>
      <c r="F22" s="3" t="inlineStr">
        <is>
          <t>AutoTap ICSE 2019 — User Study 1 public data</t>
        </is>
      </c>
      <c r="G22" s="5" t="inlineStr">
        <is>
          <t>https://github.com/zlfben/autotap/blob/master/data/Data%20-%20User%20Study%201.xlsx</t>
        </is>
      </c>
      <c r="H22" s="3" t="inlineStr">
        <is>
          <t>Result sheet, Excel row 8, column CA (header 9_Q25, statement 9)</t>
        </is>
      </c>
      <c r="I22" s="3" t="inlineStr">
        <is>
          <t>2026-09-13</t>
        </is>
      </c>
      <c r="J22" s="3" t="inlineStr">
        <is>
          <t>Start to mow the lawn at 8 am once a week.</t>
        </is>
      </c>
      <c r="K22" s="3" t="inlineStr">
        <is>
          <t>ReleaseData=Yes; saw_examples=yes; exception_response=none</t>
        </is>
      </c>
      <c r="L22" s="3" t="inlineStr">
        <is>
          <t>IN_SCOPE</t>
        </is>
      </c>
      <c r="M22" s="3" t="inlineStr"/>
      <c r="N22" s="3" t="inlineStr"/>
      <c r="O22" s="3" t="inlineStr">
        <is>
          <t>clock/calendar</t>
        </is>
      </c>
      <c r="P22" s="3" t="inlineStr">
        <is>
          <t>immediate/unspecified</t>
        </is>
      </c>
      <c r="Q22" s="3" t="inlineStr">
        <is>
          <t>straight-line/unspecified</t>
        </is>
      </c>
      <c r="R22" s="3" t="inlineStr">
        <is>
          <t>none/unspecified</t>
        </is>
      </c>
      <c r="S22" s="3" t="inlineStr">
        <is>
          <t>single</t>
        </is>
      </c>
      <c r="T22" s="3" t="inlineStr">
        <is>
          <t>one-shot/unspecified</t>
        </is>
      </c>
      <c r="U22" s="3" t="inlineStr">
        <is>
          <t>R9</t>
        </is>
      </c>
      <c r="V22" s="3" t="inlineStr"/>
      <c r="W22" s="3" t="inlineStr"/>
      <c r="X22" s="3" t="inlineStr">
        <is>
          <t>R9</t>
        </is>
      </c>
      <c r="Y22" s="3" t="inlineStr">
        <is>
          <t>no</t>
        </is>
      </c>
      <c r="Z22" s="3" t="inlineStr">
        <is>
          <t>breadth_only_pending_depth_selection</t>
        </is>
      </c>
      <c r="AA22" s="3" t="inlineStr"/>
      <c r="AB22" s="3" t="inlineStr"/>
      <c r="AC22" s="3" t="inlineStr"/>
      <c r="AD22" s="3" t="inlineStr"/>
      <c r="AE22" s="3" t="inlineStr">
        <is>
          <t>VERBATIM_PUBLIC_STUDY_DATA</t>
        </is>
      </c>
      <c r="AF22" s="3" t="inlineStr">
        <is>
          <t>SERVER_CHECKED_2026-09-13; CORRECTED</t>
        </is>
      </c>
      <c r="AG22" s="3" t="inlineStr">
        <is>
          <t>Original spelling preserved.</t>
        </is>
      </c>
      <c r="AH22" s="3" t="inlineStr"/>
    </row>
    <row r="23" ht="45" customHeight="1">
      <c r="A23" s="3" t="inlineStr">
        <is>
          <t>E1-022</t>
        </is>
      </c>
      <c r="B23" s="3" t="inlineStr">
        <is>
          <t>new</t>
        </is>
      </c>
      <c r="C23" s="3" t="inlineStr"/>
      <c r="D23" s="3" t="inlineStr">
        <is>
          <t>elicited</t>
        </is>
      </c>
      <c r="E23" s="3" t="inlineStr">
        <is>
          <t>user-study elicited</t>
        </is>
      </c>
      <c r="F23" s="3" t="inlineStr">
        <is>
          <t>AutoTap ICSE 2019 — User Study 1 public data</t>
        </is>
      </c>
      <c r="G23" s="5" t="inlineStr">
        <is>
          <t>https://github.com/zlfben/autotap/blob/master/data/Data%20-%20User%20Study%201.xlsx</t>
        </is>
      </c>
      <c r="H23" s="3" t="inlineStr">
        <is>
          <t>Result sheet, Excel row 8, column CF (header 10_Q25, statement 10)</t>
        </is>
      </c>
      <c r="I23" s="3" t="inlineStr">
        <is>
          <t>2026-09-13</t>
        </is>
      </c>
      <c r="J23" s="3" t="inlineStr">
        <is>
          <t>Give the pets their food at 6am every day and at 6pm.</t>
        </is>
      </c>
      <c r="K23" s="3" t="inlineStr">
        <is>
          <t>ReleaseData=Yes; saw_examples=yes; exception_response=none</t>
        </is>
      </c>
      <c r="L23" s="3" t="inlineStr">
        <is>
          <t>IN_SCOPE</t>
        </is>
      </c>
      <c r="M23" s="3" t="inlineStr"/>
      <c r="N23" s="3" t="inlineStr"/>
      <c r="O23" s="3" t="inlineStr">
        <is>
          <t>clock/calendar</t>
        </is>
      </c>
      <c r="P23" s="3" t="inlineStr">
        <is>
          <t>periodic/count</t>
        </is>
      </c>
      <c r="Q23" s="3" t="inlineStr">
        <is>
          <t>sequence/composition; repeat</t>
        </is>
      </c>
      <c r="R23" s="3" t="inlineStr">
        <is>
          <t>none/unspecified</t>
        </is>
      </c>
      <c r="S23" s="3" t="inlineStr">
        <is>
          <t>multiple</t>
        </is>
      </c>
      <c r="T23" s="3" t="inlineStr">
        <is>
          <t>recurring</t>
        </is>
      </c>
      <c r="U23" s="3" t="inlineStr">
        <is>
          <t>R9</t>
        </is>
      </c>
      <c r="V23" s="3" t="inlineStr"/>
      <c r="W23" s="3" t="inlineStr"/>
      <c r="X23" s="3" t="inlineStr">
        <is>
          <t>R9</t>
        </is>
      </c>
      <c r="Y23" s="3" t="inlineStr">
        <is>
          <t>no</t>
        </is>
      </c>
      <c r="Z23" s="3" t="inlineStr">
        <is>
          <t>breadth_only_pending_depth_selection</t>
        </is>
      </c>
      <c r="AA23" s="3" t="inlineStr"/>
      <c r="AB23" s="3" t="inlineStr"/>
      <c r="AC23" s="3" t="inlineStr"/>
      <c r="AD23" s="3" t="inlineStr"/>
      <c r="AE23" s="3" t="inlineStr">
        <is>
          <t>VERBATIM_PUBLIC_STUDY_DATA</t>
        </is>
      </c>
      <c r="AF23" s="3" t="inlineStr">
        <is>
          <t>SERVER_CHECKED_2026-09-13; CORRECTED</t>
        </is>
      </c>
      <c r="AG23" s="3" t="inlineStr">
        <is>
          <t>Original spelling preserved.</t>
        </is>
      </c>
      <c r="AH23" s="3" t="inlineStr"/>
    </row>
    <row r="24" ht="45" customHeight="1">
      <c r="A24" s="3" t="inlineStr">
        <is>
          <t>E1-023</t>
        </is>
      </c>
      <c r="B24" s="3" t="inlineStr">
        <is>
          <t>new</t>
        </is>
      </c>
      <c r="C24" s="3" t="inlineStr"/>
      <c r="D24" s="3" t="inlineStr">
        <is>
          <t>elicited</t>
        </is>
      </c>
      <c r="E24" s="3" t="inlineStr">
        <is>
          <t>user-study elicited</t>
        </is>
      </c>
      <c r="F24" s="3" t="inlineStr">
        <is>
          <t>AutoTap ICSE 2019 — User Study 1 public data</t>
        </is>
      </c>
      <c r="G24" s="5" t="inlineStr">
        <is>
          <t>https://github.com/zlfben/autotap/blob/master/data/Data%20-%20User%20Study%201.xlsx</t>
        </is>
      </c>
      <c r="H24" s="3" t="inlineStr">
        <is>
          <t>Result sheet, Excel row 10, column AM (header 1_Q25, statement 1)</t>
        </is>
      </c>
      <c r="I24" s="3" t="inlineStr">
        <is>
          <t>2026-09-13</t>
        </is>
      </c>
      <c r="J24" s="3" t="inlineStr">
        <is>
          <t>smart sprinkler should never activate when it has recently rained</t>
        </is>
      </c>
      <c r="K24" s="3" t="inlineStr">
        <is>
          <t>ReleaseData=Yes; saw_examples=no; exception_response=none</t>
        </is>
      </c>
      <c r="L24" s="3" t="inlineStr">
        <is>
          <t>IN_SCOPE</t>
        </is>
      </c>
      <c r="M24" s="3" t="inlineStr"/>
      <c r="N24" s="3" t="inlineStr"/>
      <c r="O24" s="3" t="inlineStr">
        <is>
          <t>event/state</t>
        </is>
      </c>
      <c r="P24" s="3" t="inlineStr">
        <is>
          <t>immediate/unspecified</t>
        </is>
      </c>
      <c r="Q24" s="3" t="inlineStr">
        <is>
          <t>guard/branch</t>
        </is>
      </c>
      <c r="R24" s="3" t="inlineStr">
        <is>
          <t>timestamp/prior-state</t>
        </is>
      </c>
      <c r="S24" s="3" t="inlineStr">
        <is>
          <t>single</t>
        </is>
      </c>
      <c r="T24" s="3" t="inlineStr">
        <is>
          <t>recurring</t>
        </is>
      </c>
      <c r="U24" s="3" t="inlineStr">
        <is>
          <t>R1, B3</t>
        </is>
      </c>
      <c r="V24" s="3" t="inlineStr"/>
      <c r="W24" s="3" t="inlineStr"/>
      <c r="X24" s="3" t="inlineStr">
        <is>
          <t>R1, B3</t>
        </is>
      </c>
      <c r="Y24" s="3" t="inlineStr">
        <is>
          <t>no</t>
        </is>
      </c>
      <c r="Z24" s="3" t="inlineStr">
        <is>
          <t>breadth_only_pending_depth_selection</t>
        </is>
      </c>
      <c r="AA24" s="3" t="inlineStr"/>
      <c r="AB24" s="3" t="inlineStr"/>
      <c r="AC24" s="3" t="inlineStr"/>
      <c r="AD24" s="3" t="inlineStr"/>
      <c r="AE24" s="3" t="inlineStr">
        <is>
          <t>VERBATIM_PUBLIC_STUDY_DATA</t>
        </is>
      </c>
      <c r="AF24" s="3" t="inlineStr">
        <is>
          <t>SERVER_CHECKED_2026-09-13; CORRECTED</t>
        </is>
      </c>
      <c r="AG24" s="3" t="inlineStr">
        <is>
          <t>Original spelling preserved.</t>
        </is>
      </c>
      <c r="AH24" s="3" t="inlineStr"/>
    </row>
    <row r="25" ht="45" customHeight="1">
      <c r="A25" s="3" t="inlineStr">
        <is>
          <t>E1-024</t>
        </is>
      </c>
      <c r="B25" s="3" t="inlineStr">
        <is>
          <t>new</t>
        </is>
      </c>
      <c r="C25" s="3" t="inlineStr"/>
      <c r="D25" s="3" t="inlineStr">
        <is>
          <t>elicited</t>
        </is>
      </c>
      <c r="E25" s="3" t="inlineStr">
        <is>
          <t>user-study elicited</t>
        </is>
      </c>
      <c r="F25" s="3" t="inlineStr">
        <is>
          <t>AutoTap ICSE 2019 — User Study 1 public data</t>
        </is>
      </c>
      <c r="G25" s="5" t="inlineStr">
        <is>
          <t>https://github.com/zlfben/autotap/blob/master/data/Data%20-%20User%20Study%201.xlsx</t>
        </is>
      </c>
      <c r="H25" s="3" t="inlineStr">
        <is>
          <t>Result sheet, Excel row 12, column BL (header 6_Q25, statement 6)</t>
        </is>
      </c>
      <c r="I25" s="3" t="inlineStr">
        <is>
          <t>2026-09-13</t>
        </is>
      </c>
      <c r="J25" s="3" t="inlineStr">
        <is>
          <t>My smart sprinkler should never be on more than 10 minutes every 2 days.</t>
        </is>
      </c>
      <c r="K25" s="3" t="inlineStr">
        <is>
          <t>ReleaseData=Yes; saw_examples=yes; exception_response=none</t>
        </is>
      </c>
      <c r="L25" s="3" t="inlineStr">
        <is>
          <t>IN_SCOPE</t>
        </is>
      </c>
      <c r="M25" s="3" t="inlineStr"/>
      <c r="N25" s="3" t="inlineStr"/>
      <c r="O25" s="3" t="inlineStr">
        <is>
          <t>unspecified</t>
        </is>
      </c>
      <c r="P25" s="3" t="inlineStr">
        <is>
          <t>duration/window; periodic/count</t>
        </is>
      </c>
      <c r="Q25" s="3" t="inlineStr">
        <is>
          <t>repeat</t>
        </is>
      </c>
      <c r="R25" s="3" t="inlineStr">
        <is>
          <t>none/unspecified</t>
        </is>
      </c>
      <c r="S25" s="3" t="inlineStr">
        <is>
          <t>single</t>
        </is>
      </c>
      <c r="T25" s="3" t="inlineStr">
        <is>
          <t>recurring</t>
        </is>
      </c>
      <c r="U25" s="3" t="inlineStr">
        <is>
          <t>R3</t>
        </is>
      </c>
      <c r="V25" s="3" t="inlineStr"/>
      <c r="W25" s="3" t="inlineStr"/>
      <c r="X25" s="3" t="inlineStr">
        <is>
          <t>R3</t>
        </is>
      </c>
      <c r="Y25" s="3" t="inlineStr">
        <is>
          <t>no</t>
        </is>
      </c>
      <c r="Z25" s="3" t="inlineStr">
        <is>
          <t>breadth_only_pending_depth_selection</t>
        </is>
      </c>
      <c r="AA25" s="3" t="inlineStr"/>
      <c r="AB25" s="3" t="inlineStr"/>
      <c r="AC25" s="3" t="inlineStr"/>
      <c r="AD25" s="3" t="inlineStr"/>
      <c r="AE25" s="3" t="inlineStr">
        <is>
          <t>VERBATIM_PUBLIC_STUDY_DATA</t>
        </is>
      </c>
      <c r="AF25" s="3" t="inlineStr">
        <is>
          <t>SERVER_CHECKED_2026-09-13; CORRECTED</t>
        </is>
      </c>
      <c r="AG25" s="3" t="inlineStr">
        <is>
          <t>Original spelling preserved.</t>
        </is>
      </c>
      <c r="AH25" s="3" t="inlineStr"/>
    </row>
    <row r="26" ht="45" customHeight="1">
      <c r="A26" s="3" t="inlineStr">
        <is>
          <t>E1-025</t>
        </is>
      </c>
      <c r="B26" s="3" t="inlineStr">
        <is>
          <t>new</t>
        </is>
      </c>
      <c r="C26" s="3" t="inlineStr"/>
      <c r="D26" s="3" t="inlineStr">
        <is>
          <t>elicited</t>
        </is>
      </c>
      <c r="E26" s="3" t="inlineStr">
        <is>
          <t>user-study elicited</t>
        </is>
      </c>
      <c r="F26" s="3" t="inlineStr">
        <is>
          <t>AutoTap ICSE 2019 — User Study 1 public data</t>
        </is>
      </c>
      <c r="G26" s="5" t="inlineStr">
        <is>
          <t>https://github.com/zlfben/autotap/blob/master/data/Data%20-%20User%20Study%201.xlsx</t>
        </is>
      </c>
      <c r="H26" s="3" t="inlineStr">
        <is>
          <t>Result sheet, Excel row 13, column BV (header 8_Q25, statement 8)</t>
        </is>
      </c>
      <c r="I26" s="3" t="inlineStr">
        <is>
          <t>2026-09-13</t>
        </is>
      </c>
      <c r="J26" s="3" t="inlineStr">
        <is>
          <t>Never test the CO detector after 10 PM</t>
        </is>
      </c>
      <c r="K26" s="3" t="inlineStr">
        <is>
          <t>ReleaseData=Yes; saw_examples=no; exception_response=none</t>
        </is>
      </c>
      <c r="L26" s="3" t="inlineStr">
        <is>
          <t>IN_SCOPE</t>
        </is>
      </c>
      <c r="M26" s="3" t="inlineStr"/>
      <c r="N26" s="3" t="inlineStr"/>
      <c r="O26" s="3" t="inlineStr">
        <is>
          <t>clock/calendar</t>
        </is>
      </c>
      <c r="P26" s="3" t="inlineStr">
        <is>
          <t>delay/order</t>
        </is>
      </c>
      <c r="Q26" s="3" t="inlineStr">
        <is>
          <t>straight-line/unspecified</t>
        </is>
      </c>
      <c r="R26" s="3" t="inlineStr">
        <is>
          <t>none/unspecified</t>
        </is>
      </c>
      <c r="S26" s="3" t="inlineStr">
        <is>
          <t>single</t>
        </is>
      </c>
      <c r="T26" s="3" t="inlineStr">
        <is>
          <t>recurring</t>
        </is>
      </c>
      <c r="U26" s="3" t="inlineStr">
        <is>
          <t>R2, R9</t>
        </is>
      </c>
      <c r="V26" s="3" t="inlineStr"/>
      <c r="W26" s="3" t="inlineStr"/>
      <c r="X26" s="3" t="inlineStr">
        <is>
          <t>R2, R9</t>
        </is>
      </c>
      <c r="Y26" s="3" t="inlineStr">
        <is>
          <t>no</t>
        </is>
      </c>
      <c r="Z26" s="3" t="inlineStr">
        <is>
          <t>breadth_only_pending_depth_selection</t>
        </is>
      </c>
      <c r="AA26" s="3" t="inlineStr"/>
      <c r="AB26" s="3" t="inlineStr"/>
      <c r="AC26" s="3" t="inlineStr"/>
      <c r="AD26" s="3" t="inlineStr"/>
      <c r="AE26" s="3" t="inlineStr">
        <is>
          <t>VERBATIM_PUBLIC_STUDY_DATA</t>
        </is>
      </c>
      <c r="AF26" s="3" t="inlineStr">
        <is>
          <t>SERVER_CHECKED_2026-09-13; CORRECTED</t>
        </is>
      </c>
      <c r="AG26" s="3" t="inlineStr">
        <is>
          <t>Original spelling preserved.</t>
        </is>
      </c>
      <c r="AH26" s="3" t="inlineStr"/>
    </row>
    <row r="27" ht="45" customHeight="1">
      <c r="A27" s="3" t="inlineStr">
        <is>
          <t>E1-026</t>
        </is>
      </c>
      <c r="B27" s="3" t="inlineStr">
        <is>
          <t>new</t>
        </is>
      </c>
      <c r="C27" s="3" t="inlineStr"/>
      <c r="D27" s="3" t="inlineStr">
        <is>
          <t>elicited</t>
        </is>
      </c>
      <c r="E27" s="3" t="inlineStr">
        <is>
          <t>user-study elicited</t>
        </is>
      </c>
      <c r="F27" s="3" t="inlineStr">
        <is>
          <t>AutoTap ICSE 2019 — User Study 1 public data</t>
        </is>
      </c>
      <c r="G27" s="5" t="inlineStr">
        <is>
          <t>https://github.com/zlfben/autotap/blob/master/data/Data%20-%20User%20Study%201.xlsx</t>
        </is>
      </c>
      <c r="H27" s="3" t="inlineStr">
        <is>
          <t>Result sheet, Excel row 18, column BL (header 6_Q25, statement 6)</t>
        </is>
      </c>
      <c r="I27" s="3" t="inlineStr">
        <is>
          <t>2026-09-13</t>
        </is>
      </c>
      <c r="J27" s="3" t="inlineStr">
        <is>
          <t>A smart light should only come on when it is a certain brightness in the room or a user activates it manually.</t>
        </is>
      </c>
      <c r="K27" s="3" t="inlineStr">
        <is>
          <t>ReleaseData=Yes; saw_examples=yes; exception_response=I think this could happen if someone wanted a light to come on before they come home from somewhere and need to see.</t>
        </is>
      </c>
      <c r="L27" s="3" t="inlineStr">
        <is>
          <t>IN_SCOPE</t>
        </is>
      </c>
      <c r="M27" s="3" t="inlineStr"/>
      <c r="N27" s="3" t="inlineStr"/>
      <c r="O27" s="3" t="inlineStr">
        <is>
          <t>event/state; manual</t>
        </is>
      </c>
      <c r="P27" s="3" t="inlineStr">
        <is>
          <t>immediate/unspecified</t>
        </is>
      </c>
      <c r="Q27" s="3" t="inlineStr">
        <is>
          <t>guard/branch</t>
        </is>
      </c>
      <c r="R27" s="3" t="inlineStr">
        <is>
          <t>none/unspecified</t>
        </is>
      </c>
      <c r="S27" s="3" t="inlineStr">
        <is>
          <t>single</t>
        </is>
      </c>
      <c r="T27" s="3" t="inlineStr">
        <is>
          <t>one-shot/unspecified</t>
        </is>
      </c>
      <c r="U27" s="3" t="inlineStr">
        <is>
          <t>R1, R6</t>
        </is>
      </c>
      <c r="V27" s="3" t="inlineStr"/>
      <c r="W27" s="3" t="inlineStr"/>
      <c r="X27" s="3" t="inlineStr">
        <is>
          <t>R1, R6</t>
        </is>
      </c>
      <c r="Y27" s="3" t="inlineStr">
        <is>
          <t>no</t>
        </is>
      </c>
      <c r="Z27" s="3" t="inlineStr">
        <is>
          <t>breadth_only_pending_depth_selection</t>
        </is>
      </c>
      <c r="AA27" s="3" t="inlineStr"/>
      <c r="AB27" s="3" t="inlineStr"/>
      <c r="AC27" s="3" t="inlineStr"/>
      <c r="AD27" s="3" t="inlineStr"/>
      <c r="AE27" s="3" t="inlineStr">
        <is>
          <t>VERBATIM_PUBLIC_STUDY_DATA</t>
        </is>
      </c>
      <c r="AF27" s="3" t="inlineStr">
        <is>
          <t>SERVER_CHECKED_2026-09-13; CORRECTED</t>
        </is>
      </c>
      <c r="AG27" s="3" t="inlineStr">
        <is>
          <t>Original spelling preserved.</t>
        </is>
      </c>
      <c r="AH27" s="3" t="inlineStr"/>
    </row>
    <row r="28" ht="45" customHeight="1">
      <c r="A28" s="3" t="inlineStr">
        <is>
          <t>E1-027</t>
        </is>
      </c>
      <c r="B28" s="3" t="inlineStr">
        <is>
          <t>new</t>
        </is>
      </c>
      <c r="C28" s="3" t="inlineStr"/>
      <c r="D28" s="3" t="inlineStr">
        <is>
          <t>elicited</t>
        </is>
      </c>
      <c r="E28" s="3" t="inlineStr">
        <is>
          <t>user-study elicited</t>
        </is>
      </c>
      <c r="F28" s="3" t="inlineStr">
        <is>
          <t>AutoTap ICSE 2019 — User Study 1 public data</t>
        </is>
      </c>
      <c r="G28" s="5" t="inlineStr">
        <is>
          <t>https://github.com/zlfben/autotap/blob/master/data/Data%20-%20User%20Study%201.xlsx</t>
        </is>
      </c>
      <c r="H28" s="3" t="inlineStr">
        <is>
          <t>Result sheet, Excel row 21, column AR (header 2_Q25, statement 2)</t>
        </is>
      </c>
      <c r="I28" s="3" t="inlineStr">
        <is>
          <t>2026-09-13</t>
        </is>
      </c>
      <c r="J28" s="3" t="inlineStr">
        <is>
          <t>my outdoor lights should always be on between 7 and 12 pm</t>
        </is>
      </c>
      <c r="K28" s="3" t="inlineStr">
        <is>
          <t>ReleaseData=Yes; saw_examples=yes; exception_response=possibly if I am out of town then the lights wouldn't need to be on.</t>
        </is>
      </c>
      <c r="L28" s="3" t="inlineStr">
        <is>
          <t>AMBIGUOUS</t>
        </is>
      </c>
      <c r="M28" s="3" t="inlineStr">
        <is>
          <t>The clock meaning of 'between 7 and 12 pm' is unclear; the original text is kept without normalization.</t>
        </is>
      </c>
      <c r="N28" s="3" t="inlineStr"/>
      <c r="O28" s="3" t="inlineStr">
        <is>
          <t>clock/calendar</t>
        </is>
      </c>
      <c r="P28" s="3" t="inlineStr">
        <is>
          <t>immediate/unspecified</t>
        </is>
      </c>
      <c r="Q28" s="3" t="inlineStr">
        <is>
          <t>sequence/composition</t>
        </is>
      </c>
      <c r="R28" s="3" t="inlineStr">
        <is>
          <t>none/unspecified</t>
        </is>
      </c>
      <c r="S28" s="3" t="inlineStr">
        <is>
          <t>multiple</t>
        </is>
      </c>
      <c r="T28" s="3" t="inlineStr">
        <is>
          <t>recurring</t>
        </is>
      </c>
      <c r="U28" s="3" t="inlineStr">
        <is>
          <t>R9</t>
        </is>
      </c>
      <c r="V28" s="3" t="inlineStr"/>
      <c r="W28" s="3" t="inlineStr"/>
      <c r="X28" s="3" t="inlineStr">
        <is>
          <t>N/A</t>
        </is>
      </c>
      <c r="Y28" s="3" t="inlineStr">
        <is>
          <t>no</t>
        </is>
      </c>
      <c r="Z28" s="3" t="inlineStr">
        <is>
          <t>breadth_only_pending_depth_selection</t>
        </is>
      </c>
      <c r="AA28" s="3" t="inlineStr"/>
      <c r="AB28" s="3" t="inlineStr"/>
      <c r="AC28" s="3" t="inlineStr">
        <is>
          <t>Which time range 'between 7 and 12 pm' denotes.</t>
        </is>
      </c>
      <c r="AD28" s="3" t="inlineStr"/>
      <c r="AE28" s="3" t="inlineStr">
        <is>
          <t>VERBATIM_PUBLIC_STUDY_DATA</t>
        </is>
      </c>
      <c r="AF28" s="3" t="inlineStr">
        <is>
          <t>SERVER_CHECKED_2026-09-13; CORRECTED</t>
        </is>
      </c>
      <c r="AG28" s="3" t="inlineStr">
        <is>
          <t>Original spelling preserved.</t>
        </is>
      </c>
      <c r="AH28" s="3" t="inlineStr"/>
    </row>
    <row r="29" ht="45" customHeight="1">
      <c r="A29" s="3" t="inlineStr">
        <is>
          <t>E1-028</t>
        </is>
      </c>
      <c r="B29" s="3" t="inlineStr">
        <is>
          <t>new</t>
        </is>
      </c>
      <c r="C29" s="3" t="inlineStr"/>
      <c r="D29" s="3" t="inlineStr">
        <is>
          <t>elicited</t>
        </is>
      </c>
      <c r="E29" s="3" t="inlineStr">
        <is>
          <t>user-study elicited</t>
        </is>
      </c>
      <c r="F29" s="3" t="inlineStr">
        <is>
          <t>AutoTap ICSE 2019 — User Study 1 public data</t>
        </is>
      </c>
      <c r="G29" s="5" t="inlineStr">
        <is>
          <t>https://github.com/zlfben/autotap/blob/master/data/Data%20-%20User%20Study%201.xlsx</t>
        </is>
      </c>
      <c r="H29" s="3" t="inlineStr">
        <is>
          <t>Result sheet, Excel row 26, column AR (header 2_Q25, statement 2)</t>
        </is>
      </c>
      <c r="I29" s="3" t="inlineStr">
        <is>
          <t>2026-09-13</t>
        </is>
      </c>
      <c r="J29" s="3" t="inlineStr">
        <is>
          <t>My smart pet feeder should never allow to dispense more than 2 bowls of food per every 4 hours.</t>
        </is>
      </c>
      <c r="K29" s="3" t="inlineStr">
        <is>
          <t>ReleaseData=Yes; saw_examples=yes; exception_response=none</t>
        </is>
      </c>
      <c r="L29" s="3" t="inlineStr">
        <is>
          <t>IN_SCOPE</t>
        </is>
      </c>
      <c r="M29" s="3" t="inlineStr"/>
      <c r="N29" s="3" t="inlineStr"/>
      <c r="O29" s="3" t="inlineStr">
        <is>
          <t>unspecified</t>
        </is>
      </c>
      <c r="P29" s="3" t="inlineStr">
        <is>
          <t>duration/window; periodic/count</t>
        </is>
      </c>
      <c r="Q29" s="3" t="inlineStr">
        <is>
          <t>repeat</t>
        </is>
      </c>
      <c r="R29" s="3" t="inlineStr">
        <is>
          <t>count/aggregate</t>
        </is>
      </c>
      <c r="S29" s="3" t="inlineStr">
        <is>
          <t>single</t>
        </is>
      </c>
      <c r="T29" s="3" t="inlineStr">
        <is>
          <t>recurring</t>
        </is>
      </c>
      <c r="U29" s="3" t="inlineStr">
        <is>
          <t>R3</t>
        </is>
      </c>
      <c r="V29" s="3" t="inlineStr"/>
      <c r="W29" s="3" t="inlineStr"/>
      <c r="X29" s="3" t="inlineStr">
        <is>
          <t>R3</t>
        </is>
      </c>
      <c r="Y29" s="3" t="inlineStr">
        <is>
          <t>no</t>
        </is>
      </c>
      <c r="Z29" s="3" t="inlineStr">
        <is>
          <t>proposed_depth_addition</t>
        </is>
      </c>
      <c r="AA29" s="3" t="inlineStr">
        <is>
          <t>5</t>
        </is>
      </c>
      <c r="AB29" s="3" t="inlineStr">
        <is>
          <t>Elicited rate/count constraint; tests backend history/count dependence.</t>
        </is>
      </c>
      <c r="AC29" s="3" t="inlineStr"/>
      <c r="AD29" s="3" t="inlineStr"/>
      <c r="AE29" s="3" t="inlineStr">
        <is>
          <t>VERBATIM_PUBLIC_STUDY_DATA</t>
        </is>
      </c>
      <c r="AF29" s="3" t="inlineStr">
        <is>
          <t>SERVER_CHECKED_2026-09-13; CORRECTED</t>
        </is>
      </c>
      <c r="AG29" s="3" t="inlineStr">
        <is>
          <t>Original spelling preserved.</t>
        </is>
      </c>
      <c r="AH29" s="3" t="inlineStr"/>
    </row>
    <row r="30" ht="45" customHeight="1">
      <c r="A30" s="3" t="inlineStr">
        <is>
          <t>E1-029</t>
        </is>
      </c>
      <c r="B30" s="3" t="inlineStr">
        <is>
          <t>new</t>
        </is>
      </c>
      <c r="C30" s="3" t="inlineStr"/>
      <c r="D30" s="3" t="inlineStr">
        <is>
          <t>elicited</t>
        </is>
      </c>
      <c r="E30" s="3" t="inlineStr">
        <is>
          <t>user-study elicited</t>
        </is>
      </c>
      <c r="F30" s="3" t="inlineStr">
        <is>
          <t>AutoTap ICSE 2019 — User Study 1 public data</t>
        </is>
      </c>
      <c r="G30" s="5" t="inlineStr">
        <is>
          <t>https://github.com/zlfben/autotap/blob/master/data/Data%20-%20User%20Study%201.xlsx</t>
        </is>
      </c>
      <c r="H30" s="3" t="inlineStr">
        <is>
          <t>Result sheet, Excel row 28, column BB (header 4_Q25, statement 4)</t>
        </is>
      </c>
      <c r="I30" s="3" t="inlineStr">
        <is>
          <t>2026-09-13</t>
        </is>
      </c>
      <c r="J30" s="3" t="inlineStr">
        <is>
          <t>the lock should lock 10 seconds after you close the door</t>
        </is>
      </c>
      <c r="K30" s="3" t="inlineStr">
        <is>
          <t>ReleaseData=Yes; saw_examples=no; exception_response=none</t>
        </is>
      </c>
      <c r="L30" s="3" t="inlineStr">
        <is>
          <t>IN_SCOPE</t>
        </is>
      </c>
      <c r="M30" s="3" t="inlineStr"/>
      <c r="N30" s="3" t="inlineStr"/>
      <c r="O30" s="3" t="inlineStr">
        <is>
          <t>unspecified</t>
        </is>
      </c>
      <c r="P30" s="3" t="inlineStr">
        <is>
          <t>delay/order; duration/window</t>
        </is>
      </c>
      <c r="Q30" s="3" t="inlineStr">
        <is>
          <t>straight-line/unspecified</t>
        </is>
      </c>
      <c r="R30" s="3" t="inlineStr">
        <is>
          <t>timestamp/prior-state</t>
        </is>
      </c>
      <c r="S30" s="3" t="inlineStr">
        <is>
          <t>single</t>
        </is>
      </c>
      <c r="T30" s="3" t="inlineStr">
        <is>
          <t>one-shot/unspecified</t>
        </is>
      </c>
      <c r="U30" s="3" t="inlineStr">
        <is>
          <t>R2, B3</t>
        </is>
      </c>
      <c r="V30" s="3" t="inlineStr"/>
      <c r="W30" s="3" t="inlineStr"/>
      <c r="X30" s="3" t="inlineStr">
        <is>
          <t>R2, B3</t>
        </is>
      </c>
      <c r="Y30" s="3" t="inlineStr">
        <is>
          <t>no</t>
        </is>
      </c>
      <c r="Z30" s="3" t="inlineStr">
        <is>
          <t>breadth_only_pending_depth_selection</t>
        </is>
      </c>
      <c r="AA30" s="3" t="inlineStr"/>
      <c r="AB30" s="3" t="inlineStr"/>
      <c r="AC30" s="3" t="inlineStr"/>
      <c r="AD30" s="3" t="inlineStr"/>
      <c r="AE30" s="3" t="inlineStr">
        <is>
          <t>VERBATIM_PUBLIC_STUDY_DATA</t>
        </is>
      </c>
      <c r="AF30" s="3" t="inlineStr">
        <is>
          <t>SERVER_CHECKED_2026-09-13; CORRECTED</t>
        </is>
      </c>
      <c r="AG30" s="3" t="inlineStr">
        <is>
          <t>Original spelling preserved.</t>
        </is>
      </c>
      <c r="AH30" s="3" t="inlineStr"/>
    </row>
    <row r="31" ht="45" customHeight="1">
      <c r="A31" s="3" t="inlineStr">
        <is>
          <t>E1-030</t>
        </is>
      </c>
      <c r="B31" s="3" t="inlineStr">
        <is>
          <t>new</t>
        </is>
      </c>
      <c r="C31" s="3" t="inlineStr"/>
      <c r="D31" s="3" t="inlineStr">
        <is>
          <t>elicited</t>
        </is>
      </c>
      <c r="E31" s="3" t="inlineStr">
        <is>
          <t>user-study elicited</t>
        </is>
      </c>
      <c r="F31" s="3" t="inlineStr">
        <is>
          <t>AutoTap ICSE 2019 — User Study 1 public data</t>
        </is>
      </c>
      <c r="G31" s="5" t="inlineStr">
        <is>
          <t>https://github.com/zlfben/autotap/blob/master/data/Data%20-%20User%20Study%201.xlsx</t>
        </is>
      </c>
      <c r="H31" s="3" t="inlineStr">
        <is>
          <t>Result sheet, Excel row 31, column CF (header 10_Q25, statement 10)</t>
        </is>
      </c>
      <c r="I31" s="3" t="inlineStr">
        <is>
          <t>2026-09-13</t>
        </is>
      </c>
      <c r="J31" s="3" t="inlineStr">
        <is>
          <t>Smart tv should always turn off when idle for 1 hour.</t>
        </is>
      </c>
      <c r="K31" s="3" t="inlineStr">
        <is>
          <t>ReleaseData=Yes; saw_examples=yes; exception_response=none</t>
        </is>
      </c>
      <c r="L31" s="3" t="inlineStr">
        <is>
          <t>IN_SCOPE</t>
        </is>
      </c>
      <c r="M31" s="3" t="inlineStr"/>
      <c r="N31" s="3" t="inlineStr"/>
      <c r="O31" s="3" t="inlineStr">
        <is>
          <t>event/state</t>
        </is>
      </c>
      <c r="P31" s="3" t="inlineStr">
        <is>
          <t>duration/window</t>
        </is>
      </c>
      <c r="Q31" s="3" t="inlineStr">
        <is>
          <t>guard/branch</t>
        </is>
      </c>
      <c r="R31" s="3" t="inlineStr">
        <is>
          <t>timestamp/prior-state</t>
        </is>
      </c>
      <c r="S31" s="3" t="inlineStr">
        <is>
          <t>single</t>
        </is>
      </c>
      <c r="T31" s="3" t="inlineStr">
        <is>
          <t>recurring</t>
        </is>
      </c>
      <c r="U31" s="3" t="inlineStr">
        <is>
          <t>R1</t>
        </is>
      </c>
      <c r="V31" s="3" t="inlineStr"/>
      <c r="W31" s="3" t="inlineStr"/>
      <c r="X31" s="3" t="inlineStr">
        <is>
          <t>R1</t>
        </is>
      </c>
      <c r="Y31" s="3" t="inlineStr">
        <is>
          <t>no</t>
        </is>
      </c>
      <c r="Z31" s="3" t="inlineStr">
        <is>
          <t>breadth_only_pending_depth_selection</t>
        </is>
      </c>
      <c r="AA31" s="3" t="inlineStr"/>
      <c r="AB31" s="3" t="inlineStr"/>
      <c r="AC31" s="3" t="inlineStr"/>
      <c r="AD31" s="3" t="inlineStr"/>
      <c r="AE31" s="3" t="inlineStr">
        <is>
          <t>VERBATIM_PUBLIC_STUDY_DATA</t>
        </is>
      </c>
      <c r="AF31" s="3" t="inlineStr">
        <is>
          <t>SERVER_CHECKED_2026-09-13; CORRECTED</t>
        </is>
      </c>
      <c r="AG31" s="3" t="inlineStr">
        <is>
          <t>Original spelling preserved.</t>
        </is>
      </c>
      <c r="AH31" s="3" t="inlineStr"/>
    </row>
    <row r="32" ht="45" customHeight="1">
      <c r="A32" s="3" t="inlineStr">
        <is>
          <t>E1-031</t>
        </is>
      </c>
      <c r="B32" s="3" t="inlineStr">
        <is>
          <t>new</t>
        </is>
      </c>
      <c r="C32" s="3" t="inlineStr"/>
      <c r="D32" s="3" t="inlineStr">
        <is>
          <t>elicited</t>
        </is>
      </c>
      <c r="E32" s="3" t="inlineStr">
        <is>
          <t>user-study elicited</t>
        </is>
      </c>
      <c r="F32" s="3" t="inlineStr">
        <is>
          <t>AutoTap ICSE 2019 — User Study 1 public data</t>
        </is>
      </c>
      <c r="G32" s="5" t="inlineStr">
        <is>
          <t>https://github.com/zlfben/autotap/blob/master/data/Data%20-%20User%20Study%201.xlsx</t>
        </is>
      </c>
      <c r="H32" s="3" t="inlineStr">
        <is>
          <t>Result sheet, Excel row 48, column CF (header 10_Q25, statement 10)</t>
        </is>
      </c>
      <c r="I32" s="3" t="inlineStr">
        <is>
          <t>2026-09-13</t>
        </is>
      </c>
      <c r="J32" s="3" t="inlineStr">
        <is>
          <t>The Smart TV in the children's room should never turn on whenever the toothbrush has not been used at least twice that day</t>
        </is>
      </c>
      <c r="K32" s="3" t="inlineStr">
        <is>
          <t>ReleaseData=Yes; saw_examples=yes; exception_response=none</t>
        </is>
      </c>
      <c r="L32" s="3" t="inlineStr">
        <is>
          <t>IN_SCOPE</t>
        </is>
      </c>
      <c r="M32" s="3" t="inlineStr"/>
      <c r="N32" s="3" t="inlineStr"/>
      <c r="O32" s="3" t="inlineStr">
        <is>
          <t>event/state</t>
        </is>
      </c>
      <c r="P32" s="3" t="inlineStr">
        <is>
          <t>immediate/unspecified</t>
        </is>
      </c>
      <c r="Q32" s="3" t="inlineStr">
        <is>
          <t>straight-line/unspecified</t>
        </is>
      </c>
      <c r="R32" s="3" t="inlineStr">
        <is>
          <t>count/aggregate</t>
        </is>
      </c>
      <c r="S32" s="3" t="inlineStr">
        <is>
          <t>single</t>
        </is>
      </c>
      <c r="T32" s="3" t="inlineStr">
        <is>
          <t>recurring</t>
        </is>
      </c>
      <c r="U32" s="3" t="inlineStr">
        <is>
          <t>R1, R8</t>
        </is>
      </c>
      <c r="V32" s="3" t="inlineStr"/>
      <c r="W32" s="3" t="inlineStr"/>
      <c r="X32" s="3" t="inlineStr">
        <is>
          <t>R1, R6</t>
        </is>
      </c>
      <c r="Y32" s="3" t="inlineStr">
        <is>
          <t>no</t>
        </is>
      </c>
      <c r="Z32" s="3" t="inlineStr">
        <is>
          <t>breadth_only_pending_depth_selection</t>
        </is>
      </c>
      <c r="AA32" s="3" t="inlineStr"/>
      <c r="AB32" s="3" t="inlineStr"/>
      <c r="AC32" s="3" t="inlineStr"/>
      <c r="AD32" s="3" t="inlineStr">
        <is>
          <t>Becomes expressible if a history/count service supplies the daily count; this is not evidence of an IR-language boundary.</t>
        </is>
      </c>
      <c r="AE32" s="3" t="inlineStr">
        <is>
          <t>VERBATIM_PUBLIC_STUDY_DATA</t>
        </is>
      </c>
      <c r="AF32" s="3" t="inlineStr">
        <is>
          <t>SERVER_CHECKED_2026-09-13; CORRECTED</t>
        </is>
      </c>
      <c r="AG32" s="3" t="inlineStr">
        <is>
          <t>Original spelling preserved. Author interpretation: a backend history/count service provides the day's toothbrush use count and the automation reads it as a guard. This is not a claim that the IR performs internal accumulation.</t>
        </is>
      </c>
      <c r="AH32" s="3" t="inlineStr"/>
    </row>
    <row r="33" ht="45" customHeight="1">
      <c r="A33" s="3" t="inlineStr">
        <is>
          <t>E1-032</t>
        </is>
      </c>
      <c r="B33" s="3" t="inlineStr">
        <is>
          <t>new</t>
        </is>
      </c>
      <c r="C33" s="3" t="inlineStr"/>
      <c r="D33" s="3" t="inlineStr">
        <is>
          <t>elicited</t>
        </is>
      </c>
      <c r="E33" s="3" t="inlineStr">
        <is>
          <t>user-study elicited</t>
        </is>
      </c>
      <c r="F33" s="3" t="inlineStr">
        <is>
          <t>AutoTap ICSE 2019 — User Study 1 public data</t>
        </is>
      </c>
      <c r="G33" s="5" t="inlineStr">
        <is>
          <t>https://github.com/zlfben/autotap/blob/master/data/Data%20-%20User%20Study%201.xlsx</t>
        </is>
      </c>
      <c r="H33" s="3" t="inlineStr">
        <is>
          <t>Result sheet, Excel row 51, column AW (header 3_Q25, statement 3)</t>
        </is>
      </c>
      <c r="I33" s="3" t="inlineStr">
        <is>
          <t>2026-09-13</t>
        </is>
      </c>
      <c r="J33" s="3" t="inlineStr">
        <is>
          <t>My smart window should never be opened while the AC is on.</t>
        </is>
      </c>
      <c r="K33" s="3" t="inlineStr">
        <is>
          <t>ReleaseData=Yes; saw_examples=yes; exception_response=Smoke, fires, smells.</t>
        </is>
      </c>
      <c r="L33" s="3" t="inlineStr">
        <is>
          <t>IN_SCOPE</t>
        </is>
      </c>
      <c r="M33" s="3" t="inlineStr"/>
      <c r="N33" s="3" t="inlineStr"/>
      <c r="O33" s="3" t="inlineStr">
        <is>
          <t>unspecified</t>
        </is>
      </c>
      <c r="P33" s="3" t="inlineStr">
        <is>
          <t>immediate/unspecified</t>
        </is>
      </c>
      <c r="Q33" s="3" t="inlineStr">
        <is>
          <t>guard/branch</t>
        </is>
      </c>
      <c r="R33" s="3" t="inlineStr">
        <is>
          <t>none/unspecified</t>
        </is>
      </c>
      <c r="S33" s="3" t="inlineStr">
        <is>
          <t>single</t>
        </is>
      </c>
      <c r="T33" s="3" t="inlineStr">
        <is>
          <t>recurring</t>
        </is>
      </c>
      <c r="U33" s="3" t="inlineStr">
        <is>
          <t>R6</t>
        </is>
      </c>
      <c r="V33" s="3" t="inlineStr"/>
      <c r="W33" s="3" t="inlineStr"/>
      <c r="X33" s="3" t="inlineStr">
        <is>
          <t>R6</t>
        </is>
      </c>
      <c r="Y33" s="3" t="inlineStr">
        <is>
          <t>no</t>
        </is>
      </c>
      <c r="Z33" s="3" t="inlineStr">
        <is>
          <t>breadth_only_pending_depth_selection</t>
        </is>
      </c>
      <c r="AA33" s="3" t="inlineStr"/>
      <c r="AB33" s="3" t="inlineStr"/>
      <c r="AC33" s="3" t="inlineStr"/>
      <c r="AD33" s="3" t="inlineStr"/>
      <c r="AE33" s="3" t="inlineStr">
        <is>
          <t>VERBATIM_PUBLIC_STUDY_DATA</t>
        </is>
      </c>
      <c r="AF33" s="3" t="inlineStr">
        <is>
          <t>SERVER_CHECKED_2026-09-13; CORRECTED</t>
        </is>
      </c>
      <c r="AG33" s="3" t="inlineStr">
        <is>
          <t>Original spelling preserved.</t>
        </is>
      </c>
      <c r="AH33" s="3" t="inlineStr"/>
    </row>
    <row r="34" ht="45" customHeight="1">
      <c r="A34" s="3" t="inlineStr">
        <is>
          <t>E1-033</t>
        </is>
      </c>
      <c r="B34" s="3" t="inlineStr">
        <is>
          <t>new</t>
        </is>
      </c>
      <c r="C34" s="3" t="inlineStr"/>
      <c r="D34" s="3" t="inlineStr">
        <is>
          <t>elicited</t>
        </is>
      </c>
      <c r="E34" s="3" t="inlineStr">
        <is>
          <t>user-study elicited</t>
        </is>
      </c>
      <c r="F34" s="3" t="inlineStr">
        <is>
          <t>AutoTap ICSE 2019 — User Study 1 public data</t>
        </is>
      </c>
      <c r="G34" s="5" t="inlineStr">
        <is>
          <t>https://github.com/zlfben/autotap/blob/master/data/Data%20-%20User%20Study%201.xlsx</t>
        </is>
      </c>
      <c r="H34" s="3" t="inlineStr">
        <is>
          <t>Result sheet, Excel row 54, column AR (header 2_Q25, statement 2)</t>
        </is>
      </c>
      <c r="I34" s="3" t="inlineStr">
        <is>
          <t>2026-09-13</t>
        </is>
      </c>
      <c r="J34" s="3" t="inlineStr">
        <is>
          <t>My smart garage door should always be opened on weekdays from 5pm to 6pm.</t>
        </is>
      </c>
      <c r="K34" s="3" t="inlineStr">
        <is>
          <t>ReleaseData=Yes; saw_examples=yes; exception_response=If I didn't go to work that day, it would be unnecessary to open the garage door.</t>
        </is>
      </c>
      <c r="L34" s="3" t="inlineStr">
        <is>
          <t>IN_SCOPE</t>
        </is>
      </c>
      <c r="M34" s="3" t="inlineStr"/>
      <c r="N34" s="3" t="inlineStr"/>
      <c r="O34" s="3" t="inlineStr">
        <is>
          <t>clock/calendar</t>
        </is>
      </c>
      <c r="P34" s="3" t="inlineStr">
        <is>
          <t>immediate/unspecified</t>
        </is>
      </c>
      <c r="Q34" s="3" t="inlineStr">
        <is>
          <t>straight-line/unspecified</t>
        </is>
      </c>
      <c r="R34" s="3" t="inlineStr">
        <is>
          <t>none/unspecified</t>
        </is>
      </c>
      <c r="S34" s="3" t="inlineStr">
        <is>
          <t>single</t>
        </is>
      </c>
      <c r="T34" s="3" t="inlineStr">
        <is>
          <t>recurring</t>
        </is>
      </c>
      <c r="U34" s="3" t="inlineStr">
        <is>
          <t>R9</t>
        </is>
      </c>
      <c r="V34" s="3" t="inlineStr"/>
      <c r="W34" s="3" t="inlineStr"/>
      <c r="X34" s="3" t="inlineStr">
        <is>
          <t>R9</t>
        </is>
      </c>
      <c r="Y34" s="3" t="inlineStr">
        <is>
          <t>no</t>
        </is>
      </c>
      <c r="Z34" s="3" t="inlineStr">
        <is>
          <t>breadth_only_pending_depth_selection</t>
        </is>
      </c>
      <c r="AA34" s="3" t="inlineStr"/>
      <c r="AB34" s="3" t="inlineStr"/>
      <c r="AC34" s="3" t="inlineStr"/>
      <c r="AD34" s="3" t="inlineStr"/>
      <c r="AE34" s="3" t="inlineStr">
        <is>
          <t>VERBATIM_PUBLIC_STUDY_DATA</t>
        </is>
      </c>
      <c r="AF34" s="3" t="inlineStr">
        <is>
          <t>SERVER_CHECKED_2026-09-13; CORRECTED</t>
        </is>
      </c>
      <c r="AG34" s="3" t="inlineStr">
        <is>
          <t>Original spelling preserved.</t>
        </is>
      </c>
      <c r="AH34" s="3" t="inlineStr"/>
    </row>
    <row r="35" ht="45" customHeight="1">
      <c r="A35" s="3" t="inlineStr">
        <is>
          <t>E1-034</t>
        </is>
      </c>
      <c r="B35" s="3" t="inlineStr">
        <is>
          <t>new</t>
        </is>
      </c>
      <c r="C35" s="3" t="inlineStr"/>
      <c r="D35" s="3" t="inlineStr">
        <is>
          <t>elicited</t>
        </is>
      </c>
      <c r="E35" s="3" t="inlineStr">
        <is>
          <t>user-study elicited</t>
        </is>
      </c>
      <c r="F35" s="3" t="inlineStr">
        <is>
          <t>AutoTap ICSE 2019 — User Study 1 public data</t>
        </is>
      </c>
      <c r="G35" s="5" t="inlineStr">
        <is>
          <t>https://github.com/zlfben/autotap/blob/master/data/Data%20-%20User%20Study%201.xlsx</t>
        </is>
      </c>
      <c r="H35" s="3" t="inlineStr">
        <is>
          <t>Result sheet, Excel row 60, column CA (header 9_Q25, statement 9)</t>
        </is>
      </c>
      <c r="I35" s="3" t="inlineStr">
        <is>
          <t>2026-09-13</t>
        </is>
      </c>
      <c r="J35" s="3" t="inlineStr">
        <is>
          <t>My smart oven should never be on for than 4 hours, maximum without alerting if more time is needed, and shutting off if not responded to.</t>
        </is>
      </c>
      <c r="K35" s="3" t="inlineStr">
        <is>
          <t>ReleaseData=Yes; saw_examples=yes; exception_response=none</t>
        </is>
      </c>
      <c r="L35" s="3" t="inlineStr">
        <is>
          <t>IN_SCOPE</t>
        </is>
      </c>
      <c r="M35" s="3" t="inlineStr"/>
      <c r="N35" s="3" t="inlineStr"/>
      <c r="O35" s="3" t="inlineStr">
        <is>
          <t>event/state</t>
        </is>
      </c>
      <c r="P35" s="3" t="inlineStr">
        <is>
          <t>duration/window</t>
        </is>
      </c>
      <c r="Q35" s="3" t="inlineStr">
        <is>
          <t>sequence/composition; guard/branch</t>
        </is>
      </c>
      <c r="R35" s="3" t="inlineStr">
        <is>
          <t>timestamp/prior-state</t>
        </is>
      </c>
      <c r="S35" s="3" t="inlineStr">
        <is>
          <t>multiple</t>
        </is>
      </c>
      <c r="T35" s="3" t="inlineStr">
        <is>
          <t>recurring</t>
        </is>
      </c>
      <c r="U35" s="3" t="inlineStr">
        <is>
          <t>R1</t>
        </is>
      </c>
      <c r="V35" s="3" t="inlineStr"/>
      <c r="W35" s="3" t="inlineStr"/>
      <c r="X35" s="3" t="inlineStr">
        <is>
          <t>R1</t>
        </is>
      </c>
      <c r="Y35" s="3" t="inlineStr">
        <is>
          <t>no</t>
        </is>
      </c>
      <c r="Z35" s="3" t="inlineStr">
        <is>
          <t>proposed_depth_addition</t>
        </is>
      </c>
      <c r="AA35" s="3" t="inlineStr">
        <is>
          <t>6</t>
        </is>
      </c>
      <c r="AB35" s="3" t="inlineStr">
        <is>
          <t>Elicited alert-response timeout and shutdown branch.</t>
        </is>
      </c>
      <c r="AC35" s="3" t="inlineStr"/>
      <c r="AD35" s="3" t="inlineStr"/>
      <c r="AE35" s="3" t="inlineStr">
        <is>
          <t>VERBATIM_PUBLIC_STUDY_DATA</t>
        </is>
      </c>
      <c r="AF35" s="3" t="inlineStr">
        <is>
          <t>SERVER_CHECKED_2026-09-13; CORRECTED</t>
        </is>
      </c>
      <c r="AG35" s="3" t="inlineStr">
        <is>
          <t>Original spelling preserved.</t>
        </is>
      </c>
      <c r="AH35" s="3" t="inlineStr"/>
    </row>
    <row r="36" ht="45" customHeight="1">
      <c r="A36" s="3" t="inlineStr">
        <is>
          <t>E1-035</t>
        </is>
      </c>
      <c r="B36" s="3" t="inlineStr">
        <is>
          <t>new</t>
        </is>
      </c>
      <c r="C36" s="3" t="inlineStr"/>
      <c r="D36" s="3" t="inlineStr">
        <is>
          <t>elicited</t>
        </is>
      </c>
      <c r="E36" s="3" t="inlineStr">
        <is>
          <t>user-study elicited</t>
        </is>
      </c>
      <c r="F36" s="3" t="inlineStr">
        <is>
          <t>AutoTap ICSE 2019 — User Study 1 public data</t>
        </is>
      </c>
      <c r="G36" s="5" t="inlineStr">
        <is>
          <t>https://github.com/zlfben/autotap/blob/master/data/Data%20-%20User%20Study%201.xlsx</t>
        </is>
      </c>
      <c r="H36" s="3" t="inlineStr">
        <is>
          <t>Result sheet, Excel row 67, column AW (header 3_Q25, statement 3)</t>
        </is>
      </c>
      <c r="I36" s="3" t="inlineStr">
        <is>
          <t>2026-09-13</t>
        </is>
      </c>
      <c r="J36" s="3" t="inlineStr">
        <is>
          <t>My smart TV should turn off whenever it has been empty of people for more than 10 minutes.</t>
        </is>
      </c>
      <c r="K36" s="3" t="inlineStr">
        <is>
          <t>ReleaseData=Yes; saw_examples=yes; exception_response=none</t>
        </is>
      </c>
      <c r="L36" s="3" t="inlineStr">
        <is>
          <t>IN_SCOPE</t>
        </is>
      </c>
      <c r="M36" s="3" t="inlineStr"/>
      <c r="N36" s="3" t="inlineStr"/>
      <c r="O36" s="3" t="inlineStr">
        <is>
          <t>event/state</t>
        </is>
      </c>
      <c r="P36" s="3" t="inlineStr">
        <is>
          <t>duration/window</t>
        </is>
      </c>
      <c r="Q36" s="3" t="inlineStr">
        <is>
          <t>straight-line/unspecified</t>
        </is>
      </c>
      <c r="R36" s="3" t="inlineStr">
        <is>
          <t>timestamp/prior-state</t>
        </is>
      </c>
      <c r="S36" s="3" t="inlineStr">
        <is>
          <t>single</t>
        </is>
      </c>
      <c r="T36" s="3" t="inlineStr">
        <is>
          <t>recurring</t>
        </is>
      </c>
      <c r="U36" s="3" t="inlineStr">
        <is>
          <t>R1, R3</t>
        </is>
      </c>
      <c r="V36" s="3" t="inlineStr"/>
      <c r="W36" s="3" t="inlineStr"/>
      <c r="X36" s="3" t="inlineStr">
        <is>
          <t>R1, R3</t>
        </is>
      </c>
      <c r="Y36" s="3" t="inlineStr">
        <is>
          <t>no</t>
        </is>
      </c>
      <c r="Z36" s="3" t="inlineStr">
        <is>
          <t>breadth_only_pending_depth_selection</t>
        </is>
      </c>
      <c r="AA36" s="3" t="inlineStr"/>
      <c r="AB36" s="3" t="inlineStr"/>
      <c r="AC36" s="3" t="inlineStr"/>
      <c r="AD36" s="3" t="inlineStr"/>
      <c r="AE36" s="3" t="inlineStr">
        <is>
          <t>VERBATIM_PUBLIC_STUDY_DATA</t>
        </is>
      </c>
      <c r="AF36" s="3" t="inlineStr">
        <is>
          <t>SERVER_CHECKED_2026-09-13; CORRECTED</t>
        </is>
      </c>
      <c r="AG36" s="3" t="inlineStr">
        <is>
          <t>Original spelling preserved.</t>
        </is>
      </c>
      <c r="AH36" s="3" t="inlineStr"/>
    </row>
    <row r="37" ht="45" customHeight="1">
      <c r="A37" s="3" t="inlineStr">
        <is>
          <t>E1-036</t>
        </is>
      </c>
      <c r="B37" s="3" t="inlineStr">
        <is>
          <t>new</t>
        </is>
      </c>
      <c r="C37" s="3" t="inlineStr"/>
      <c r="D37" s="3" t="inlineStr">
        <is>
          <t>research</t>
        </is>
      </c>
      <c r="E37" s="3" t="inlineStr">
        <is>
          <t>study task</t>
        </is>
      </c>
      <c r="F37" s="3" t="inlineStr">
        <is>
          <t>Ur et al., Practical Trigger-Action Programming in the Smart Home (CHI 2014)</t>
        </is>
      </c>
      <c r="G37" s="5" t="inlineStr">
        <is>
          <t>https://www.blaseur.com/papers/TriggerActionCHI14.pdf</t>
        </is>
      </c>
      <c r="H37" s="3" t="inlineStr">
        <is>
          <t>Table 1, Task A</t>
        </is>
      </c>
      <c r="I37" s="3" t="inlineStr">
        <is>
          <t>2026-09-13</t>
        </is>
      </c>
      <c r="J37" s="3" t="inlineStr">
        <is>
          <t>When my Facebook profile picture changes, update my Twitter profile picture.</t>
        </is>
      </c>
      <c r="K37" s="3" t="inlineStr"/>
      <c r="L37" s="3" t="inlineStr">
        <is>
          <t>OUT_OF_SCOPE</t>
        </is>
      </c>
      <c r="M37" s="3" t="inlineStr">
        <is>
          <t>Online-service automation rather than a smart-home device automation; retained as a recorded boundary case.</t>
        </is>
      </c>
      <c r="N37" s="3" t="inlineStr"/>
      <c r="O37" s="3" t="inlineStr">
        <is>
          <t>event/state</t>
        </is>
      </c>
      <c r="P37" s="3" t="inlineStr">
        <is>
          <t>immediate/unspecified</t>
        </is>
      </c>
      <c r="Q37" s="3" t="inlineStr">
        <is>
          <t>guard/branch</t>
        </is>
      </c>
      <c r="R37" s="3" t="inlineStr">
        <is>
          <t>none/unspecified</t>
        </is>
      </c>
      <c r="S37" s="3" t="inlineStr">
        <is>
          <t>single</t>
        </is>
      </c>
      <c r="T37" s="3" t="inlineStr">
        <is>
          <t>one-shot/unspecified</t>
        </is>
      </c>
      <c r="U37" s="3" t="inlineStr">
        <is>
          <t>R1</t>
        </is>
      </c>
      <c r="V37" s="3" t="inlineStr"/>
      <c r="W37" s="3" t="inlineStr"/>
      <c r="X37" s="3" t="inlineStr">
        <is>
          <t>N/A</t>
        </is>
      </c>
      <c r="Y37" s="3" t="inlineStr">
        <is>
          <t>no</t>
        </is>
      </c>
      <c r="Z37" s="3" t="inlineStr">
        <is>
          <t>breadth_only_pending_depth_selection</t>
        </is>
      </c>
      <c r="AA37" s="3" t="inlineStr"/>
      <c r="AB37" s="3" t="inlineStr"/>
      <c r="AC37" s="3" t="inlineStr"/>
      <c r="AD37" s="3" t="inlineStr"/>
      <c r="AE37" s="3" t="inlineStr">
        <is>
          <t>VERBATIM_PAPER_TASK_OR_EXAMPLE</t>
        </is>
      </c>
      <c r="AF37" s="3" t="inlineStr">
        <is>
          <t>SERVER_CHECKED_2026-09-13</t>
        </is>
      </c>
      <c r="AG37" s="3" t="inlineStr"/>
      <c r="AH37" s="3" t="inlineStr"/>
    </row>
    <row r="38" ht="45" customHeight="1">
      <c r="A38" s="3" t="inlineStr">
        <is>
          <t>E1-037</t>
        </is>
      </c>
      <c r="B38" s="3" t="inlineStr">
        <is>
          <t>new</t>
        </is>
      </c>
      <c r="C38" s="3" t="inlineStr"/>
      <c r="D38" s="3" t="inlineStr">
        <is>
          <t>research</t>
        </is>
      </c>
      <c r="E38" s="3" t="inlineStr">
        <is>
          <t>study task</t>
        </is>
      </c>
      <c r="F38" s="3" t="inlineStr">
        <is>
          <t>Ur et al., Practical Trigger-Action Programming in the Smart Home (CHI 2014)</t>
        </is>
      </c>
      <c r="G38" s="5" t="inlineStr">
        <is>
          <t>https://www.blaseur.com/papers/TriggerActionCHI14.pdf</t>
        </is>
      </c>
      <c r="H38" s="3" t="inlineStr">
        <is>
          <t>Table 1, Task B</t>
        </is>
      </c>
      <c r="I38" s="3" t="inlineStr">
        <is>
          <t>2026-09-13</t>
        </is>
      </c>
      <c r="J38" s="3" t="inlineStr">
        <is>
          <t>Get all updates from the website www.xkcd.com via email.</t>
        </is>
      </c>
      <c r="K38" s="3" t="inlineStr"/>
      <c r="L38" s="3" t="inlineStr">
        <is>
          <t>OUT_OF_SCOPE</t>
        </is>
      </c>
      <c r="M38" s="3" t="inlineStr">
        <is>
          <t>Online-service automation rather than a smart-home device automation; retained as a recorded boundary case.</t>
        </is>
      </c>
      <c r="N38" s="3" t="inlineStr"/>
      <c r="O38" s="3" t="inlineStr">
        <is>
          <t>unspecified</t>
        </is>
      </c>
      <c r="P38" s="3" t="inlineStr">
        <is>
          <t>immediate/unspecified</t>
        </is>
      </c>
      <c r="Q38" s="3" t="inlineStr">
        <is>
          <t>straight-line/unspecified</t>
        </is>
      </c>
      <c r="R38" s="3" t="inlineStr">
        <is>
          <t>none/unspecified</t>
        </is>
      </c>
      <c r="S38" s="3" t="inlineStr">
        <is>
          <t>single</t>
        </is>
      </c>
      <c r="T38" s="3" t="inlineStr">
        <is>
          <t>one-shot/unspecified</t>
        </is>
      </c>
      <c r="U38" s="3" t="inlineStr">
        <is>
          <t>UNCLASSIFIED</t>
        </is>
      </c>
      <c r="V38" s="3" t="inlineStr"/>
      <c r="W38" s="3" t="inlineStr"/>
      <c r="X38" s="3" t="inlineStr">
        <is>
          <t>N/A</t>
        </is>
      </c>
      <c r="Y38" s="3" t="inlineStr">
        <is>
          <t>no</t>
        </is>
      </c>
      <c r="Z38" s="3" t="inlineStr">
        <is>
          <t>breadth_only_pending_depth_selection</t>
        </is>
      </c>
      <c r="AA38" s="3" t="inlineStr"/>
      <c r="AB38" s="3" t="inlineStr"/>
      <c r="AC38" s="3" t="inlineStr"/>
      <c r="AD38" s="3" t="inlineStr"/>
      <c r="AE38" s="3" t="inlineStr">
        <is>
          <t>VERBATIM_PAPER_TASK_OR_EXAMPLE</t>
        </is>
      </c>
      <c r="AF38" s="3" t="inlineStr">
        <is>
          <t>SERVER_CHECKED_2026-09-13</t>
        </is>
      </c>
      <c r="AG38" s="3" t="inlineStr"/>
      <c r="AH38" s="3" t="inlineStr"/>
    </row>
    <row r="39" ht="45" customHeight="1">
      <c r="A39" s="3" t="inlineStr">
        <is>
          <t>E1-038</t>
        </is>
      </c>
      <c r="B39" s="3" t="inlineStr">
        <is>
          <t>new</t>
        </is>
      </c>
      <c r="C39" s="3" t="inlineStr"/>
      <c r="D39" s="3" t="inlineStr">
        <is>
          <t>research</t>
        </is>
      </c>
      <c r="E39" s="3" t="inlineStr">
        <is>
          <t>study task</t>
        </is>
      </c>
      <c r="F39" s="3" t="inlineStr">
        <is>
          <t>Ur et al., Practical Trigger-Action Programming in the Smart Home (CHI 2014)</t>
        </is>
      </c>
      <c r="G39" s="5" t="inlineStr">
        <is>
          <t>https://www.blaseur.com/papers/TriggerActionCHI14.pdf</t>
        </is>
      </c>
      <c r="H39" s="3" t="inlineStr">
        <is>
          <t>Table 1, Task C</t>
        </is>
      </c>
      <c r="I39" s="3" t="inlineStr">
        <is>
          <t>2026-09-13</t>
        </is>
      </c>
      <c r="J39" s="3" t="inlineStr">
        <is>
          <t>If I receive an email from JohnDoe@gmail.com then blink lights to notify me.</t>
        </is>
      </c>
      <c r="K39" s="3" t="inlineStr"/>
      <c r="L39" s="3" t="inlineStr">
        <is>
          <t>IN_SCOPE</t>
        </is>
      </c>
      <c r="M39" s="3" t="inlineStr"/>
      <c r="N39" s="3" t="inlineStr"/>
      <c r="O39" s="3" t="inlineStr">
        <is>
          <t>event/state</t>
        </is>
      </c>
      <c r="P39" s="3" t="inlineStr">
        <is>
          <t>immediate/unspecified</t>
        </is>
      </c>
      <c r="Q39" s="3" t="inlineStr">
        <is>
          <t>sequence/composition; guard/branch</t>
        </is>
      </c>
      <c r="R39" s="3" t="inlineStr">
        <is>
          <t>none/unspecified</t>
        </is>
      </c>
      <c r="S39" s="3" t="inlineStr">
        <is>
          <t>multiple</t>
        </is>
      </c>
      <c r="T39" s="3" t="inlineStr">
        <is>
          <t>one-shot/unspecified</t>
        </is>
      </c>
      <c r="U39" s="3" t="inlineStr">
        <is>
          <t>R1, R6</t>
        </is>
      </c>
      <c r="V39" s="3" t="inlineStr"/>
      <c r="W39" s="3" t="inlineStr"/>
      <c r="X39" s="3" t="inlineStr">
        <is>
          <t>R1, R6</t>
        </is>
      </c>
      <c r="Y39" s="3" t="inlineStr">
        <is>
          <t>no</t>
        </is>
      </c>
      <c r="Z39" s="3" t="inlineStr">
        <is>
          <t>breadth_only_pending_depth_selection</t>
        </is>
      </c>
      <c r="AA39" s="3" t="inlineStr"/>
      <c r="AB39" s="3" t="inlineStr"/>
      <c r="AC39" s="3" t="inlineStr"/>
      <c r="AD39" s="3" t="inlineStr"/>
      <c r="AE39" s="3" t="inlineStr">
        <is>
          <t>VERBATIM_PAPER_TASK_OR_EXAMPLE</t>
        </is>
      </c>
      <c r="AF39" s="3" t="inlineStr">
        <is>
          <t>SERVER_CHECKED_2026-09-13</t>
        </is>
      </c>
      <c r="AG39" s="3" t="inlineStr"/>
      <c r="AH39" s="3" t="inlineStr"/>
    </row>
    <row r="40" ht="45" customHeight="1">
      <c r="A40" s="3" t="inlineStr">
        <is>
          <t>E1-039</t>
        </is>
      </c>
      <c r="B40" s="3" t="inlineStr">
        <is>
          <t>new</t>
        </is>
      </c>
      <c r="C40" s="3" t="inlineStr"/>
      <c r="D40" s="3" t="inlineStr">
        <is>
          <t>research</t>
        </is>
      </c>
      <c r="E40" s="3" t="inlineStr">
        <is>
          <t>study task</t>
        </is>
      </c>
      <c r="F40" s="3" t="inlineStr">
        <is>
          <t>Ur et al., Practical Trigger-Action Programming in the Smart Home (CHI 2014)</t>
        </is>
      </c>
      <c r="G40" s="5" t="inlineStr">
        <is>
          <t>https://www.blaseur.com/papers/TriggerActionCHI14.pdf</t>
        </is>
      </c>
      <c r="H40" s="3" t="inlineStr">
        <is>
          <t>Table 1, Task D</t>
        </is>
      </c>
      <c r="I40" s="3" t="inlineStr">
        <is>
          <t>2026-09-13</t>
        </is>
      </c>
      <c r="J40" s="3" t="inlineStr">
        <is>
          <t>Turn on the lights when the sun sets.</t>
        </is>
      </c>
      <c r="K40" s="3" t="inlineStr"/>
      <c r="L40" s="3" t="inlineStr">
        <is>
          <t>IN_SCOPE</t>
        </is>
      </c>
      <c r="M40" s="3" t="inlineStr"/>
      <c r="N40" s="3" t="inlineStr"/>
      <c r="O40" s="3" t="inlineStr">
        <is>
          <t>event/state</t>
        </is>
      </c>
      <c r="P40" s="3" t="inlineStr">
        <is>
          <t>immediate/unspecified</t>
        </is>
      </c>
      <c r="Q40" s="3" t="inlineStr">
        <is>
          <t>guard/branch</t>
        </is>
      </c>
      <c r="R40" s="3" t="inlineStr">
        <is>
          <t>none/unspecified</t>
        </is>
      </c>
      <c r="S40" s="3" t="inlineStr">
        <is>
          <t>single</t>
        </is>
      </c>
      <c r="T40" s="3" t="inlineStr">
        <is>
          <t>one-shot/unspecified</t>
        </is>
      </c>
      <c r="U40" s="3" t="inlineStr">
        <is>
          <t>R1</t>
        </is>
      </c>
      <c r="V40" s="3" t="inlineStr"/>
      <c r="W40" s="3" t="inlineStr"/>
      <c r="X40" s="3" t="inlineStr">
        <is>
          <t>R1</t>
        </is>
      </c>
      <c r="Y40" s="3" t="inlineStr">
        <is>
          <t>no</t>
        </is>
      </c>
      <c r="Z40" s="3" t="inlineStr">
        <is>
          <t>breadth_only_pending_depth_selection</t>
        </is>
      </c>
      <c r="AA40" s="3" t="inlineStr"/>
      <c r="AB40" s="3" t="inlineStr"/>
      <c r="AC40" s="3" t="inlineStr"/>
      <c r="AD40" s="3" t="inlineStr"/>
      <c r="AE40" s="3" t="inlineStr">
        <is>
          <t>VERBATIM_PAPER_TASK_OR_EXAMPLE</t>
        </is>
      </c>
      <c r="AF40" s="3" t="inlineStr">
        <is>
          <t>SERVER_CHECKED_2026-09-13</t>
        </is>
      </c>
      <c r="AG40" s="3" t="inlineStr"/>
      <c r="AH40" s="3" t="inlineStr">
        <is>
          <t>lights/sun</t>
        </is>
      </c>
    </row>
    <row r="41" ht="45" customHeight="1">
      <c r="A41" s="3" t="inlineStr">
        <is>
          <t>E1-040</t>
        </is>
      </c>
      <c r="B41" s="3" t="inlineStr">
        <is>
          <t>new</t>
        </is>
      </c>
      <c r="C41" s="3" t="inlineStr"/>
      <c r="D41" s="3" t="inlineStr">
        <is>
          <t>research</t>
        </is>
      </c>
      <c r="E41" s="3" t="inlineStr">
        <is>
          <t>study task</t>
        </is>
      </c>
      <c r="F41" s="3" t="inlineStr">
        <is>
          <t>Ur et al., Practical Trigger-Action Programming in the Smart Home (CHI 2014)</t>
        </is>
      </c>
      <c r="G41" s="5" t="inlineStr">
        <is>
          <t>https://www.blaseur.com/papers/TriggerActionCHI14.pdf</t>
        </is>
      </c>
      <c r="H41" s="3" t="inlineStr">
        <is>
          <t>Table 1, Task E</t>
        </is>
      </c>
      <c r="I41" s="3" t="inlineStr">
        <is>
          <t>2026-09-13</t>
        </is>
      </c>
      <c r="J41" s="3" t="inlineStr">
        <is>
          <t>If it is 7:00PM then turn on the lights in my bedroom.</t>
        </is>
      </c>
      <c r="K41" s="3" t="inlineStr"/>
      <c r="L41" s="3" t="inlineStr">
        <is>
          <t>IN_SCOPE</t>
        </is>
      </c>
      <c r="M41" s="3" t="inlineStr"/>
      <c r="N41" s="3" t="inlineStr"/>
      <c r="O41" s="3" t="inlineStr">
        <is>
          <t>event/state; clock/calendar</t>
        </is>
      </c>
      <c r="P41" s="3" t="inlineStr">
        <is>
          <t>immediate/unspecified</t>
        </is>
      </c>
      <c r="Q41" s="3" t="inlineStr">
        <is>
          <t>sequence/composition; guard/branch</t>
        </is>
      </c>
      <c r="R41" s="3" t="inlineStr">
        <is>
          <t>none/unspecified</t>
        </is>
      </c>
      <c r="S41" s="3" t="inlineStr">
        <is>
          <t>single</t>
        </is>
      </c>
      <c r="T41" s="3" t="inlineStr">
        <is>
          <t>one-shot/unspecified</t>
        </is>
      </c>
      <c r="U41" s="3" t="inlineStr">
        <is>
          <t>R1, R6, R9</t>
        </is>
      </c>
      <c r="V41" s="3" t="inlineStr"/>
      <c r="W41" s="3" t="inlineStr"/>
      <c r="X41" s="3" t="inlineStr">
        <is>
          <t>R1, R6, R9</t>
        </is>
      </c>
      <c r="Y41" s="3" t="inlineStr">
        <is>
          <t>no</t>
        </is>
      </c>
      <c r="Z41" s="3" t="inlineStr">
        <is>
          <t>breadth_only_pending_depth_selection</t>
        </is>
      </c>
      <c r="AA41" s="3" t="inlineStr"/>
      <c r="AB41" s="3" t="inlineStr"/>
      <c r="AC41" s="3" t="inlineStr"/>
      <c r="AD41" s="3" t="inlineStr"/>
      <c r="AE41" s="3" t="inlineStr">
        <is>
          <t>VERBATIM_PAPER_TASK_OR_EXAMPLE</t>
        </is>
      </c>
      <c r="AF41" s="3" t="inlineStr">
        <is>
          <t>SERVER_CHECKED_2026-09-13</t>
        </is>
      </c>
      <c r="AG41" s="3" t="inlineStr"/>
      <c r="AH41" s="3" t="inlineStr">
        <is>
          <t>lights/sun</t>
        </is>
      </c>
    </row>
    <row r="42" ht="45" customHeight="1">
      <c r="A42" s="3" t="inlineStr">
        <is>
          <t>E1-041</t>
        </is>
      </c>
      <c r="B42" s="3" t="inlineStr">
        <is>
          <t>new</t>
        </is>
      </c>
      <c r="C42" s="3" t="inlineStr"/>
      <c r="D42" s="3" t="inlineStr">
        <is>
          <t>research</t>
        </is>
      </c>
      <c r="E42" s="3" t="inlineStr">
        <is>
          <t>study task</t>
        </is>
      </c>
      <c r="F42" s="3" t="inlineStr">
        <is>
          <t>Ur et al., Practical Trigger-Action Programming in the Smart Home (CHI 2014)</t>
        </is>
      </c>
      <c r="G42" s="5" t="inlineStr">
        <is>
          <t>https://www.blaseur.com/papers/TriggerActionCHI14.pdf</t>
        </is>
      </c>
      <c r="H42" s="3" t="inlineStr">
        <is>
          <t>Table 1, Task F</t>
        </is>
      </c>
      <c r="I42" s="3" t="inlineStr">
        <is>
          <t>2026-09-13</t>
        </is>
      </c>
      <c r="J42" s="3" t="inlineStr">
        <is>
          <t>Blink the lights if someone is at my front door.</t>
        </is>
      </c>
      <c r="K42" s="3" t="inlineStr"/>
      <c r="L42" s="3" t="inlineStr">
        <is>
          <t>IN_SCOPE</t>
        </is>
      </c>
      <c r="M42" s="3" t="inlineStr"/>
      <c r="N42" s="3" t="inlineStr"/>
      <c r="O42" s="3" t="inlineStr">
        <is>
          <t>event/state</t>
        </is>
      </c>
      <c r="P42" s="3" t="inlineStr">
        <is>
          <t>immediate/unspecified</t>
        </is>
      </c>
      <c r="Q42" s="3" t="inlineStr">
        <is>
          <t>guard/branch</t>
        </is>
      </c>
      <c r="R42" s="3" t="inlineStr">
        <is>
          <t>none/unspecified</t>
        </is>
      </c>
      <c r="S42" s="3" t="inlineStr">
        <is>
          <t>single</t>
        </is>
      </c>
      <c r="T42" s="3" t="inlineStr">
        <is>
          <t>one-shot/unspecified</t>
        </is>
      </c>
      <c r="U42" s="3" t="inlineStr">
        <is>
          <t>R1</t>
        </is>
      </c>
      <c r="V42" s="3" t="inlineStr"/>
      <c r="W42" s="3" t="inlineStr"/>
      <c r="X42" s="3" t="inlineStr">
        <is>
          <t>R1</t>
        </is>
      </c>
      <c r="Y42" s="3" t="inlineStr">
        <is>
          <t>no</t>
        </is>
      </c>
      <c r="Z42" s="3" t="inlineStr">
        <is>
          <t>breadth_only_pending_depth_selection</t>
        </is>
      </c>
      <c r="AA42" s="3" t="inlineStr"/>
      <c r="AB42" s="3" t="inlineStr"/>
      <c r="AC42" s="3" t="inlineStr"/>
      <c r="AD42" s="3" t="inlineStr"/>
      <c r="AE42" s="3" t="inlineStr">
        <is>
          <t>VERBATIM_PAPER_TASK_OR_EXAMPLE</t>
        </is>
      </c>
      <c r="AF42" s="3" t="inlineStr">
        <is>
          <t>SERVER_CHECKED_2026-09-13</t>
        </is>
      </c>
      <c r="AG42" s="3" t="inlineStr"/>
      <c r="AH42" s="3" t="inlineStr"/>
    </row>
    <row r="43" ht="45" customHeight="1">
      <c r="A43" s="3" t="inlineStr">
        <is>
          <t>E1-042</t>
        </is>
      </c>
      <c r="B43" s="3" t="inlineStr">
        <is>
          <t>new</t>
        </is>
      </c>
      <c r="C43" s="3" t="inlineStr"/>
      <c r="D43" s="3" t="inlineStr">
        <is>
          <t>research</t>
        </is>
      </c>
      <c r="E43" s="3" t="inlineStr">
        <is>
          <t>study task</t>
        </is>
      </c>
      <c r="F43" s="3" t="inlineStr">
        <is>
          <t>Ur et al., Practical Trigger-Action Programming in the Smart Home (CHI 2014)</t>
        </is>
      </c>
      <c r="G43" s="5" t="inlineStr">
        <is>
          <t>https://www.blaseur.com/papers/TriggerActionCHI14.pdf</t>
        </is>
      </c>
      <c r="H43" s="3" t="inlineStr">
        <is>
          <t>Table 1, Task G</t>
        </is>
      </c>
      <c r="I43" s="3" t="inlineStr">
        <is>
          <t>2026-09-13</t>
        </is>
      </c>
      <c r="J43" s="3" t="inlineStr">
        <is>
          <t>The lighting in my bedroom should be on when I am there and off when I am not there.</t>
        </is>
      </c>
      <c r="K43" s="3" t="inlineStr"/>
      <c r="L43" s="3" t="inlineStr">
        <is>
          <t>IN_SCOPE</t>
        </is>
      </c>
      <c r="M43" s="3" t="inlineStr"/>
      <c r="N43" s="3" t="inlineStr"/>
      <c r="O43" s="3" t="inlineStr">
        <is>
          <t>event/state</t>
        </is>
      </c>
      <c r="P43" s="3" t="inlineStr">
        <is>
          <t>immediate/unspecified</t>
        </is>
      </c>
      <c r="Q43" s="3" t="inlineStr">
        <is>
          <t>sequence/composition; guard/branch</t>
        </is>
      </c>
      <c r="R43" s="3" t="inlineStr">
        <is>
          <t>none/unspecified</t>
        </is>
      </c>
      <c r="S43" s="3" t="inlineStr">
        <is>
          <t>multiple</t>
        </is>
      </c>
      <c r="T43" s="3" t="inlineStr">
        <is>
          <t>one-shot/unspecified</t>
        </is>
      </c>
      <c r="U43" s="3" t="inlineStr">
        <is>
          <t>R1, R9</t>
        </is>
      </c>
      <c r="V43" s="3" t="inlineStr"/>
      <c r="W43" s="3" t="inlineStr"/>
      <c r="X43" s="3" t="inlineStr">
        <is>
          <t>R1</t>
        </is>
      </c>
      <c r="Y43" s="3" t="inlineStr">
        <is>
          <t>no</t>
        </is>
      </c>
      <c r="Z43" s="3" t="inlineStr">
        <is>
          <t>breadth_only_pending_depth_selection</t>
        </is>
      </c>
      <c r="AA43" s="3" t="inlineStr"/>
      <c r="AB43" s="3" t="inlineStr"/>
      <c r="AC43" s="3" t="inlineStr"/>
      <c r="AD43" s="3" t="inlineStr"/>
      <c r="AE43" s="3" t="inlineStr">
        <is>
          <t>VERBATIM_PAPER_TASK_OR_EXAMPLE</t>
        </is>
      </c>
      <c r="AF43" s="3" t="inlineStr">
        <is>
          <t>SERVER_CHECKED_2026-09-13</t>
        </is>
      </c>
      <c r="AG43" s="3" t="inlineStr"/>
      <c r="AH43" s="3" t="inlineStr"/>
    </row>
    <row r="44" ht="45" customHeight="1">
      <c r="A44" s="3" t="inlineStr">
        <is>
          <t>E1-043</t>
        </is>
      </c>
      <c r="B44" s="3" t="inlineStr">
        <is>
          <t>new</t>
        </is>
      </c>
      <c r="C44" s="3" t="inlineStr"/>
      <c r="D44" s="3" t="inlineStr">
        <is>
          <t>research</t>
        </is>
      </c>
      <c r="E44" s="3" t="inlineStr">
        <is>
          <t>study task</t>
        </is>
      </c>
      <c r="F44" s="3" t="inlineStr">
        <is>
          <t>Ur et al., Practical Trigger-Action Programming in the Smart Home (CHI 2014)</t>
        </is>
      </c>
      <c r="G44" s="5" t="inlineStr">
        <is>
          <t>https://www.blaseur.com/papers/TriggerActionCHI14.pdf</t>
        </is>
      </c>
      <c r="H44" s="3" t="inlineStr">
        <is>
          <t>Table 1, Task H</t>
        </is>
      </c>
      <c r="I44" s="3" t="inlineStr">
        <is>
          <t>2026-09-13</t>
        </is>
      </c>
      <c r="J44" s="3" t="inlineStr">
        <is>
          <t>If it begins to rain then change the light colors to blue.</t>
        </is>
      </c>
      <c r="K44" s="3" t="inlineStr"/>
      <c r="L44" s="3" t="inlineStr">
        <is>
          <t>IN_SCOPE</t>
        </is>
      </c>
      <c r="M44" s="3" t="inlineStr"/>
      <c r="N44" s="3" t="inlineStr"/>
      <c r="O44" s="3" t="inlineStr">
        <is>
          <t>event/state</t>
        </is>
      </c>
      <c r="P44" s="3" t="inlineStr">
        <is>
          <t>immediate/unspecified</t>
        </is>
      </c>
      <c r="Q44" s="3" t="inlineStr">
        <is>
          <t>sequence/composition; guard/branch</t>
        </is>
      </c>
      <c r="R44" s="3" t="inlineStr">
        <is>
          <t>none/unspecified</t>
        </is>
      </c>
      <c r="S44" s="3" t="inlineStr">
        <is>
          <t>single</t>
        </is>
      </c>
      <c r="T44" s="3" t="inlineStr">
        <is>
          <t>one-shot/unspecified</t>
        </is>
      </c>
      <c r="U44" s="3" t="inlineStr">
        <is>
          <t>R1, R6</t>
        </is>
      </c>
      <c r="V44" s="3" t="inlineStr"/>
      <c r="W44" s="3" t="inlineStr"/>
      <c r="X44" s="3" t="inlineStr">
        <is>
          <t>R1, R6</t>
        </is>
      </c>
      <c r="Y44" s="3" t="inlineStr">
        <is>
          <t>no</t>
        </is>
      </c>
      <c r="Z44" s="3" t="inlineStr">
        <is>
          <t>breadth_only_pending_depth_selection</t>
        </is>
      </c>
      <c r="AA44" s="3" t="inlineStr"/>
      <c r="AB44" s="3" t="inlineStr"/>
      <c r="AC44" s="3" t="inlineStr"/>
      <c r="AD44" s="3" t="inlineStr"/>
      <c r="AE44" s="3" t="inlineStr">
        <is>
          <t>VERBATIM_PAPER_TASK_OR_EXAMPLE</t>
        </is>
      </c>
      <c r="AF44" s="3" t="inlineStr">
        <is>
          <t>SERVER_CHECKED_2026-09-13</t>
        </is>
      </c>
      <c r="AG44" s="3" t="inlineStr"/>
      <c r="AH44" s="3" t="inlineStr"/>
    </row>
    <row r="45" ht="45" customHeight="1">
      <c r="A45" s="3" t="inlineStr">
        <is>
          <t>E1-044</t>
        </is>
      </c>
      <c r="B45" s="3" t="inlineStr">
        <is>
          <t>new</t>
        </is>
      </c>
      <c r="C45" s="3" t="inlineStr"/>
      <c r="D45" s="3" t="inlineStr">
        <is>
          <t>research</t>
        </is>
      </c>
      <c r="E45" s="3" t="inlineStr">
        <is>
          <t>study task</t>
        </is>
      </c>
      <c r="F45" s="3" t="inlineStr">
        <is>
          <t>Ur et al., Practical Trigger-Action Programming in the Smart Home (CHI 2014)</t>
        </is>
      </c>
      <c r="G45" s="5" t="inlineStr">
        <is>
          <t>https://www.blaseur.com/papers/TriggerActionCHI14.pdf</t>
        </is>
      </c>
      <c r="H45" s="3" t="inlineStr">
        <is>
          <t>Table 1, Task J</t>
        </is>
      </c>
      <c r="I45" s="3" t="inlineStr">
        <is>
          <t>2026-09-13</t>
        </is>
      </c>
      <c r="J45" s="3" t="inlineStr">
        <is>
          <t>When I close the kitchen door, lock the door and turn off the kitchen light.</t>
        </is>
      </c>
      <c r="K45" s="3" t="inlineStr"/>
      <c r="L45" s="3" t="inlineStr">
        <is>
          <t>IN_SCOPE</t>
        </is>
      </c>
      <c r="M45" s="3" t="inlineStr"/>
      <c r="N45" s="3" t="inlineStr"/>
      <c r="O45" s="3" t="inlineStr">
        <is>
          <t>event/state</t>
        </is>
      </c>
      <c r="P45" s="3" t="inlineStr">
        <is>
          <t>immediate/unspecified</t>
        </is>
      </c>
      <c r="Q45" s="3" t="inlineStr">
        <is>
          <t>sequence/composition; guard/branch</t>
        </is>
      </c>
      <c r="R45" s="3" t="inlineStr">
        <is>
          <t>none/unspecified</t>
        </is>
      </c>
      <c r="S45" s="3" t="inlineStr">
        <is>
          <t>multiple</t>
        </is>
      </c>
      <c r="T45" s="3" t="inlineStr">
        <is>
          <t>one-shot/unspecified</t>
        </is>
      </c>
      <c r="U45" s="3" t="inlineStr">
        <is>
          <t>R1</t>
        </is>
      </c>
      <c r="V45" s="3" t="inlineStr"/>
      <c r="W45" s="3" t="inlineStr"/>
      <c r="X45" s="3" t="inlineStr">
        <is>
          <t>R1</t>
        </is>
      </c>
      <c r="Y45" s="3" t="inlineStr">
        <is>
          <t>no</t>
        </is>
      </c>
      <c r="Z45" s="3" t="inlineStr">
        <is>
          <t>breadth_only_pending_depth_selection</t>
        </is>
      </c>
      <c r="AA45" s="3" t="inlineStr"/>
      <c r="AB45" s="3" t="inlineStr"/>
      <c r="AC45" s="3" t="inlineStr"/>
      <c r="AD45" s="3" t="inlineStr"/>
      <c r="AE45" s="3" t="inlineStr">
        <is>
          <t>VERBATIM_PAPER_TASK_OR_EXAMPLE</t>
        </is>
      </c>
      <c r="AF45" s="3" t="inlineStr">
        <is>
          <t>SERVER_CHECKED_2026-09-13</t>
        </is>
      </c>
      <c r="AG45" s="3" t="inlineStr"/>
      <c r="AH45" s="3" t="inlineStr"/>
    </row>
    <row r="46" ht="45" customHeight="1">
      <c r="A46" s="3" t="inlineStr">
        <is>
          <t>E1-045</t>
        </is>
      </c>
      <c r="B46" s="3" t="inlineStr">
        <is>
          <t>new</t>
        </is>
      </c>
      <c r="C46" s="3" t="inlineStr"/>
      <c r="D46" s="3" t="inlineStr">
        <is>
          <t>research</t>
        </is>
      </c>
      <c r="E46" s="3" t="inlineStr">
        <is>
          <t>research-reported public IFTTT recipe</t>
        </is>
      </c>
      <c r="F46" s="3" t="inlineStr">
        <is>
          <t>Ur et al. (CHI 2014), Figure 1</t>
        </is>
      </c>
      <c r="G46" s="5" t="inlineStr">
        <is>
          <t>https://www.blaseur.com/papers/TriggerActionCHI14.pdf</t>
        </is>
      </c>
      <c r="H46" s="3" t="inlineStr">
        <is>
          <t>Figure 1</t>
        </is>
      </c>
      <c r="I46" s="3" t="inlineStr">
        <is>
          <t>2026-09-13</t>
        </is>
      </c>
      <c r="J46" s="3" t="inlineStr">
        <is>
          <t>If I get less than 5 hours of sleep, put on a pot o’ coffee</t>
        </is>
      </c>
      <c r="K46" s="3" t="inlineStr"/>
      <c r="L46" s="3" t="inlineStr">
        <is>
          <t>IN_SCOPE</t>
        </is>
      </c>
      <c r="M46" s="3" t="inlineStr"/>
      <c r="N46" s="3" t="inlineStr"/>
      <c r="O46" s="3" t="inlineStr">
        <is>
          <t>event/state</t>
        </is>
      </c>
      <c r="P46" s="3" t="inlineStr">
        <is>
          <t>duration/window</t>
        </is>
      </c>
      <c r="Q46" s="3" t="inlineStr">
        <is>
          <t>guard/branch</t>
        </is>
      </c>
      <c r="R46" s="3" t="inlineStr">
        <is>
          <t>none/unspecified</t>
        </is>
      </c>
      <c r="S46" s="3" t="inlineStr">
        <is>
          <t>single</t>
        </is>
      </c>
      <c r="T46" s="3" t="inlineStr">
        <is>
          <t>one-shot/unspecified</t>
        </is>
      </c>
      <c r="U46" s="3" t="inlineStr">
        <is>
          <t>R1</t>
        </is>
      </c>
      <c r="V46" s="3" t="inlineStr"/>
      <c r="W46" s="3" t="inlineStr"/>
      <c r="X46" s="3" t="inlineStr">
        <is>
          <t>R1</t>
        </is>
      </c>
      <c r="Y46" s="3" t="inlineStr">
        <is>
          <t>no</t>
        </is>
      </c>
      <c r="Z46" s="3" t="inlineStr">
        <is>
          <t>breadth_only_pending_depth_selection</t>
        </is>
      </c>
      <c r="AA46" s="3" t="inlineStr"/>
      <c r="AB46" s="3" t="inlineStr"/>
      <c r="AC46" s="3" t="inlineStr"/>
      <c r="AD46" s="3" t="inlineStr"/>
      <c r="AE46" s="3" t="inlineStr">
        <is>
          <t>VERBATIM_PAPER_TASK_OR_EXAMPLE</t>
        </is>
      </c>
      <c r="AF46" s="3" t="inlineStr">
        <is>
          <t>SERVER_CHECKED_2026-09-13</t>
        </is>
      </c>
      <c r="AG46" s="3" t="inlineStr"/>
      <c r="AH46" s="3" t="inlineStr"/>
    </row>
    <row r="47" ht="45" customHeight="1">
      <c r="A47" s="3" t="inlineStr">
        <is>
          <t>E1-046</t>
        </is>
      </c>
      <c r="B47" s="3" t="inlineStr">
        <is>
          <t>new</t>
        </is>
      </c>
      <c r="C47" s="3" t="inlineStr"/>
      <c r="D47" s="3" t="inlineStr">
        <is>
          <t>research</t>
        </is>
      </c>
      <c r="E47" s="3" t="inlineStr">
        <is>
          <t>study task</t>
        </is>
      </c>
      <c r="F47" s="3" t="inlineStr">
        <is>
          <t>Huang &amp; Cakmak, Supporting Mental Model Accuracy in TAP (UbiComp 2015)</t>
        </is>
      </c>
      <c r="G47" s="5" t="inlineStr">
        <is>
          <t>https://hcrlab.cs.washington.edu/assets/pdfs/2015/huang2015ubicomp.pdf</t>
        </is>
      </c>
      <c r="H47" s="3" t="inlineStr">
        <is>
          <t>Table 4 P1</t>
        </is>
      </c>
      <c r="I47" s="3" t="inlineStr">
        <is>
          <t>2026-09-13</t>
        </is>
      </c>
      <c r="J47" s="3" t="inlineStr">
        <is>
          <t>You want the lights to turn on at 6:00 pm every day</t>
        </is>
      </c>
      <c r="K47" s="3" t="inlineStr"/>
      <c r="L47" s="3" t="inlineStr">
        <is>
          <t>IN_SCOPE</t>
        </is>
      </c>
      <c r="M47" s="3" t="inlineStr"/>
      <c r="N47" s="3" t="inlineStr"/>
      <c r="O47" s="3" t="inlineStr">
        <is>
          <t>clock/calendar</t>
        </is>
      </c>
      <c r="P47" s="3" t="inlineStr">
        <is>
          <t>periodic/count</t>
        </is>
      </c>
      <c r="Q47" s="3" t="inlineStr">
        <is>
          <t>repeat</t>
        </is>
      </c>
      <c r="R47" s="3" t="inlineStr">
        <is>
          <t>none/unspecified</t>
        </is>
      </c>
      <c r="S47" s="3" t="inlineStr">
        <is>
          <t>single</t>
        </is>
      </c>
      <c r="T47" s="3" t="inlineStr">
        <is>
          <t>recurring</t>
        </is>
      </c>
      <c r="U47" s="3" t="inlineStr">
        <is>
          <t>R9</t>
        </is>
      </c>
      <c r="V47" s="3" t="inlineStr"/>
      <c r="W47" s="3" t="inlineStr"/>
      <c r="X47" s="3" t="inlineStr">
        <is>
          <t>R9</t>
        </is>
      </c>
      <c r="Y47" s="3" t="inlineStr">
        <is>
          <t>no</t>
        </is>
      </c>
      <c r="Z47" s="3" t="inlineStr">
        <is>
          <t>breadth_only_pending_depth_selection</t>
        </is>
      </c>
      <c r="AA47" s="3" t="inlineStr"/>
      <c r="AB47" s="3" t="inlineStr"/>
      <c r="AC47" s="3" t="inlineStr"/>
      <c r="AD47" s="3" t="inlineStr"/>
      <c r="AE47" s="3" t="inlineStr">
        <is>
          <t>VERBATIM_PAPER_TASK_OR_EXAMPLE</t>
        </is>
      </c>
      <c r="AF47" s="3" t="inlineStr">
        <is>
          <t>SERVER_CHECKED_2026-09-13</t>
        </is>
      </c>
      <c r="AG47" s="3" t="inlineStr"/>
      <c r="AH47" s="3" t="inlineStr"/>
    </row>
    <row r="48" ht="45" customHeight="1">
      <c r="A48" s="3" t="inlineStr">
        <is>
          <t>E1-047</t>
        </is>
      </c>
      <c r="B48" s="3" t="inlineStr">
        <is>
          <t>new</t>
        </is>
      </c>
      <c r="C48" s="3" t="inlineStr"/>
      <c r="D48" s="3" t="inlineStr">
        <is>
          <t>research</t>
        </is>
      </c>
      <c r="E48" s="3" t="inlineStr">
        <is>
          <t>study task</t>
        </is>
      </c>
      <c r="F48" s="3" t="inlineStr">
        <is>
          <t>Huang &amp; Cakmak, Supporting Mental Model Accuracy in TAP (UbiComp 2015)</t>
        </is>
      </c>
      <c r="G48" s="5" t="inlineStr">
        <is>
          <t>https://hcrlab.cs.washington.edu/assets/pdfs/2015/huang2015ubicomp.pdf</t>
        </is>
      </c>
      <c r="H48" s="3" t="inlineStr">
        <is>
          <t>Table 4 P2</t>
        </is>
      </c>
      <c r="I48" s="3" t="inlineStr">
        <is>
          <t>2026-09-13</t>
        </is>
      </c>
      <c r="J48" s="3" t="inlineStr">
        <is>
          <t>You want to be notified, via email, should a person be detected in the house while everyone’s at work (9:00 am - 5:00 pm every day)</t>
        </is>
      </c>
      <c r="K48" s="3" t="inlineStr"/>
      <c r="L48" s="3" t="inlineStr">
        <is>
          <t>IN_SCOPE</t>
        </is>
      </c>
      <c r="M48" s="3" t="inlineStr"/>
      <c r="N48" s="3" t="inlineStr"/>
      <c r="O48" s="3" t="inlineStr">
        <is>
          <t>event/state; clock/calendar</t>
        </is>
      </c>
      <c r="P48" s="3" t="inlineStr">
        <is>
          <t>periodic/count</t>
        </is>
      </c>
      <c r="Q48" s="3" t="inlineStr">
        <is>
          <t>guard/branch; repeat</t>
        </is>
      </c>
      <c r="R48" s="3" t="inlineStr">
        <is>
          <t>none/unspecified</t>
        </is>
      </c>
      <c r="S48" s="3" t="inlineStr">
        <is>
          <t>single</t>
        </is>
      </c>
      <c r="T48" s="3" t="inlineStr">
        <is>
          <t>recurring</t>
        </is>
      </c>
      <c r="U48" s="3" t="inlineStr">
        <is>
          <t>R1, R6, R9</t>
        </is>
      </c>
      <c r="V48" s="3" t="inlineStr"/>
      <c r="W48" s="3" t="inlineStr"/>
      <c r="X48" s="3" t="inlineStr">
        <is>
          <t>R1, R6, R9</t>
        </is>
      </c>
      <c r="Y48" s="3" t="inlineStr">
        <is>
          <t>no</t>
        </is>
      </c>
      <c r="Z48" s="3" t="inlineStr">
        <is>
          <t>breadth_only_pending_depth_selection</t>
        </is>
      </c>
      <c r="AA48" s="3" t="inlineStr"/>
      <c r="AB48" s="3" t="inlineStr"/>
      <c r="AC48" s="3" t="inlineStr"/>
      <c r="AD48" s="3" t="inlineStr"/>
      <c r="AE48" s="3" t="inlineStr">
        <is>
          <t>VERBATIM_PAPER_TASK_OR_EXAMPLE</t>
        </is>
      </c>
      <c r="AF48" s="3" t="inlineStr">
        <is>
          <t>SERVER_CHECKED_2026-09-13</t>
        </is>
      </c>
      <c r="AG48" s="3" t="inlineStr"/>
      <c r="AH48" s="3" t="inlineStr"/>
    </row>
    <row r="49" ht="45" customHeight="1">
      <c r="A49" s="3" t="inlineStr">
        <is>
          <t>E1-048</t>
        </is>
      </c>
      <c r="B49" s="3" t="inlineStr">
        <is>
          <t>new</t>
        </is>
      </c>
      <c r="C49" s="3" t="inlineStr"/>
      <c r="D49" s="3" t="inlineStr">
        <is>
          <t>research</t>
        </is>
      </c>
      <c r="E49" s="3" t="inlineStr">
        <is>
          <t>study task</t>
        </is>
      </c>
      <c r="F49" s="3" t="inlineStr">
        <is>
          <t>Huang &amp; Cakmak, Supporting Mental Model Accuracy in TAP (UbiComp 2015)</t>
        </is>
      </c>
      <c r="G49" s="5" t="inlineStr">
        <is>
          <t>https://hcrlab.cs.washington.edu/assets/pdfs/2015/huang2015ubicomp.pdf</t>
        </is>
      </c>
      <c r="H49" s="3" t="inlineStr">
        <is>
          <t>Table 4 P4</t>
        </is>
      </c>
      <c r="I49" s="3" t="inlineStr">
        <is>
          <t>2026-09-13</t>
        </is>
      </c>
      <c r="J49" s="3" t="inlineStr">
        <is>
          <t>You want the thermostat to be off as much as possible, unless the temperature outside is below 40 degrees, in which case the thermostat should be set to 72 degrees.</t>
        </is>
      </c>
      <c r="K49" s="3" t="inlineStr"/>
      <c r="L49" s="3" t="inlineStr">
        <is>
          <t>IN_SCOPE</t>
        </is>
      </c>
      <c r="M49" s="3" t="inlineStr"/>
      <c r="N49" s="3" t="inlineStr"/>
      <c r="O49" s="3" t="inlineStr">
        <is>
          <t>unspecified</t>
        </is>
      </c>
      <c r="P49" s="3" t="inlineStr">
        <is>
          <t>immediate/unspecified</t>
        </is>
      </c>
      <c r="Q49" s="3" t="inlineStr">
        <is>
          <t>guard/branch</t>
        </is>
      </c>
      <c r="R49" s="3" t="inlineStr">
        <is>
          <t>none/unspecified</t>
        </is>
      </c>
      <c r="S49" s="3" t="inlineStr">
        <is>
          <t>single</t>
        </is>
      </c>
      <c r="T49" s="3" t="inlineStr">
        <is>
          <t>one-shot/unspecified</t>
        </is>
      </c>
      <c r="U49" s="3" t="inlineStr">
        <is>
          <t>R5, R6</t>
        </is>
      </c>
      <c r="V49" s="3" t="inlineStr"/>
      <c r="W49" s="3" t="inlineStr"/>
      <c r="X49" s="3" t="inlineStr">
        <is>
          <t>R5, R6</t>
        </is>
      </c>
      <c r="Y49" s="3" t="inlineStr">
        <is>
          <t>no</t>
        </is>
      </c>
      <c r="Z49" s="3" t="inlineStr">
        <is>
          <t>breadth_only_pending_depth_selection</t>
        </is>
      </c>
      <c r="AA49" s="3" t="inlineStr"/>
      <c r="AB49" s="3" t="inlineStr"/>
      <c r="AC49" s="3" t="inlineStr"/>
      <c r="AD49" s="3" t="inlineStr"/>
      <c r="AE49" s="3" t="inlineStr">
        <is>
          <t>VERBATIM_PAPER_TASK_OR_EXAMPLE</t>
        </is>
      </c>
      <c r="AF49" s="3" t="inlineStr">
        <is>
          <t>SERVER_CHECKED_2026-09-13</t>
        </is>
      </c>
      <c r="AG49" s="3" t="inlineStr"/>
      <c r="AH49" s="3" t="inlineStr"/>
    </row>
    <row r="50" ht="45" customHeight="1">
      <c r="A50" s="3" t="inlineStr">
        <is>
          <t>E1-049</t>
        </is>
      </c>
      <c r="B50" s="3" t="inlineStr">
        <is>
          <t>new</t>
        </is>
      </c>
      <c r="C50" s="3" t="inlineStr"/>
      <c r="D50" s="3" t="inlineStr">
        <is>
          <t>research</t>
        </is>
      </c>
      <c r="E50" s="3" t="inlineStr">
        <is>
          <t>study task</t>
        </is>
      </c>
      <c r="F50" s="3" t="inlineStr">
        <is>
          <t>Huang &amp; Cakmak, Supporting Mental Model Accuracy in TAP (UbiComp 2015)</t>
        </is>
      </c>
      <c r="G50" s="5" t="inlineStr">
        <is>
          <t>https://hcrlab.cs.washington.edu/assets/pdfs/2015/huang2015ubicomp.pdf</t>
        </is>
      </c>
      <c r="H50" s="3" t="inlineStr">
        <is>
          <t>Table 4 P5</t>
        </is>
      </c>
      <c r="I50" s="3" t="inlineStr">
        <is>
          <t>2026-09-13</t>
        </is>
      </c>
      <c r="J50" s="3" t="inlineStr">
        <is>
          <t>You want a pot of coffee to be brewed when it’s below 40 degrees outside, but only before 10:00 am every day.</t>
        </is>
      </c>
      <c r="K50" s="3" t="inlineStr"/>
      <c r="L50" s="3" t="inlineStr">
        <is>
          <t>IN_SCOPE</t>
        </is>
      </c>
      <c r="M50" s="3" t="inlineStr"/>
      <c r="N50" s="3" t="inlineStr"/>
      <c r="O50" s="3" t="inlineStr">
        <is>
          <t>event/state; clock/calendar</t>
        </is>
      </c>
      <c r="P50" s="3" t="inlineStr">
        <is>
          <t>periodic/count</t>
        </is>
      </c>
      <c r="Q50" s="3" t="inlineStr">
        <is>
          <t>guard/branch; repeat</t>
        </is>
      </c>
      <c r="R50" s="3" t="inlineStr">
        <is>
          <t>none/unspecified</t>
        </is>
      </c>
      <c r="S50" s="3" t="inlineStr">
        <is>
          <t>single</t>
        </is>
      </c>
      <c r="T50" s="3" t="inlineStr">
        <is>
          <t>recurring</t>
        </is>
      </c>
      <c r="U50" s="3" t="inlineStr">
        <is>
          <t>R1, R6, R9</t>
        </is>
      </c>
      <c r="V50" s="3" t="inlineStr"/>
      <c r="W50" s="3" t="inlineStr"/>
      <c r="X50" s="3" t="inlineStr">
        <is>
          <t>R1, R6, R9</t>
        </is>
      </c>
      <c r="Y50" s="3" t="inlineStr">
        <is>
          <t>no</t>
        </is>
      </c>
      <c r="Z50" s="3" t="inlineStr">
        <is>
          <t>breadth_only_pending_depth_selection</t>
        </is>
      </c>
      <c r="AA50" s="3" t="inlineStr"/>
      <c r="AB50" s="3" t="inlineStr"/>
      <c r="AC50" s="3" t="inlineStr"/>
      <c r="AD50" s="3" t="inlineStr"/>
      <c r="AE50" s="3" t="inlineStr">
        <is>
          <t>VERBATIM_PAPER_TASK_OR_EXAMPLE</t>
        </is>
      </c>
      <c r="AF50" s="3" t="inlineStr">
        <is>
          <t>SERVER_CHECKED_2026-09-13</t>
        </is>
      </c>
      <c r="AG50" s="3" t="inlineStr"/>
      <c r="AH50" s="3" t="inlineStr"/>
    </row>
    <row r="51" ht="45" customHeight="1">
      <c r="A51" s="3" t="inlineStr">
        <is>
          <t>E1-050</t>
        </is>
      </c>
      <c r="B51" s="3" t="inlineStr">
        <is>
          <t>new</t>
        </is>
      </c>
      <c r="C51" s="3" t="inlineStr"/>
      <c r="D51" s="3" t="inlineStr">
        <is>
          <t>research</t>
        </is>
      </c>
      <c r="E51" s="3" t="inlineStr">
        <is>
          <t>study stimulus</t>
        </is>
      </c>
      <c r="F51" s="3" t="inlineStr">
        <is>
          <t>Huang &amp; Cakmak, Supporting Mental Model Accuracy in TAP (UbiComp 2015)</t>
        </is>
      </c>
      <c r="G51" s="5" t="inlineStr">
        <is>
          <t>https://hcrlab.cs.washington.edu/assets/pdfs/2015/huang2015ubicomp.pdf</t>
        </is>
      </c>
      <c r="H51" s="3" t="inlineStr">
        <is>
          <t>Table 5 Q1</t>
        </is>
      </c>
      <c r="I51" s="3" t="inlineStr">
        <is>
          <t>2026-09-13</t>
        </is>
      </c>
      <c r="J51" s="3" t="inlineStr">
        <is>
          <t>If the time is 6:00 pm, then turn the lights on</t>
        </is>
      </c>
      <c r="K51" s="3" t="inlineStr"/>
      <c r="L51" s="3" t="inlineStr">
        <is>
          <t>IN_SCOPE</t>
        </is>
      </c>
      <c r="M51" s="3" t="inlineStr"/>
      <c r="N51" s="3" t="inlineStr"/>
      <c r="O51" s="3" t="inlineStr">
        <is>
          <t>clock/calendar</t>
        </is>
      </c>
      <c r="P51" s="3" t="inlineStr">
        <is>
          <t>immediate/unspecified</t>
        </is>
      </c>
      <c r="Q51" s="3" t="inlineStr">
        <is>
          <t>sequence/composition; guard/branch</t>
        </is>
      </c>
      <c r="R51" s="3" t="inlineStr">
        <is>
          <t>none/unspecified</t>
        </is>
      </c>
      <c r="S51" s="3" t="inlineStr">
        <is>
          <t>single</t>
        </is>
      </c>
      <c r="T51" s="3" t="inlineStr">
        <is>
          <t>one-shot/unspecified</t>
        </is>
      </c>
      <c r="U51" s="3" t="inlineStr">
        <is>
          <t>R1, R6, R9</t>
        </is>
      </c>
      <c r="V51" s="3" t="inlineStr"/>
      <c r="W51" s="3" t="inlineStr"/>
      <c r="X51" s="3" t="inlineStr">
        <is>
          <t>R9</t>
        </is>
      </c>
      <c r="Y51" s="3" t="inlineStr">
        <is>
          <t>no</t>
        </is>
      </c>
      <c r="Z51" s="3" t="inlineStr">
        <is>
          <t>breadth_only_pending_depth_selection</t>
        </is>
      </c>
      <c r="AA51" s="3" t="inlineStr"/>
      <c r="AB51" s="3" t="inlineStr"/>
      <c r="AC51" s="3" t="inlineStr"/>
      <c r="AD51" s="3" t="inlineStr"/>
      <c r="AE51" s="3" t="inlineStr">
        <is>
          <t>VERBATIM_PAPER_TASK_OR_EXAMPLE</t>
        </is>
      </c>
      <c r="AF51" s="3" t="inlineStr">
        <is>
          <t>SERVER_CHECKED_2026-09-13</t>
        </is>
      </c>
      <c r="AG51" s="3" t="inlineStr"/>
      <c r="AH51" s="3" t="inlineStr"/>
    </row>
    <row r="52" ht="45" customHeight="1">
      <c r="A52" s="3" t="inlineStr">
        <is>
          <t>E1-051</t>
        </is>
      </c>
      <c r="B52" s="3" t="inlineStr">
        <is>
          <t>new</t>
        </is>
      </c>
      <c r="C52" s="3" t="inlineStr"/>
      <c r="D52" s="3" t="inlineStr">
        <is>
          <t>research</t>
        </is>
      </c>
      <c r="E52" s="3" t="inlineStr">
        <is>
          <t>study stimulus</t>
        </is>
      </c>
      <c r="F52" s="3" t="inlineStr">
        <is>
          <t>Huang &amp; Cakmak, Supporting Mental Model Accuracy in TAP (UbiComp 2015)</t>
        </is>
      </c>
      <c r="G52" s="5" t="inlineStr">
        <is>
          <t>https://hcrlab.cs.washington.edu/assets/pdfs/2015/huang2015ubicomp.pdf</t>
        </is>
      </c>
      <c r="H52" s="3" t="inlineStr">
        <is>
          <t>Table 5 Q2</t>
        </is>
      </c>
      <c r="I52" s="3" t="inlineStr">
        <is>
          <t>2026-09-13</t>
        </is>
      </c>
      <c r="J52" s="3" t="inlineStr">
        <is>
          <t>If I arrive at home and the time is between 6:00 - 11:00 pm, then turn the lights on</t>
        </is>
      </c>
      <c r="K52" s="3" t="inlineStr"/>
      <c r="L52" s="3" t="inlineStr">
        <is>
          <t>IN_SCOPE</t>
        </is>
      </c>
      <c r="M52" s="3" t="inlineStr"/>
      <c r="N52" s="3" t="inlineStr"/>
      <c r="O52" s="3" t="inlineStr">
        <is>
          <t>event/state; clock/calendar</t>
        </is>
      </c>
      <c r="P52" s="3" t="inlineStr">
        <is>
          <t>immediate/unspecified</t>
        </is>
      </c>
      <c r="Q52" s="3" t="inlineStr">
        <is>
          <t>sequence/composition; guard/branch</t>
        </is>
      </c>
      <c r="R52" s="3" t="inlineStr">
        <is>
          <t>none/unspecified</t>
        </is>
      </c>
      <c r="S52" s="3" t="inlineStr">
        <is>
          <t>multiple</t>
        </is>
      </c>
      <c r="T52" s="3" t="inlineStr">
        <is>
          <t>one-shot/unspecified</t>
        </is>
      </c>
      <c r="U52" s="3" t="inlineStr">
        <is>
          <t>R1, R6, R9</t>
        </is>
      </c>
      <c r="V52" s="3" t="inlineStr"/>
      <c r="W52" s="3" t="inlineStr"/>
      <c r="X52" s="3" t="inlineStr">
        <is>
          <t>R1, R6, R9</t>
        </is>
      </c>
      <c r="Y52" s="3" t="inlineStr">
        <is>
          <t>no</t>
        </is>
      </c>
      <c r="Z52" s="3" t="inlineStr">
        <is>
          <t>breadth_only_pending_depth_selection</t>
        </is>
      </c>
      <c r="AA52" s="3" t="inlineStr"/>
      <c r="AB52" s="3" t="inlineStr"/>
      <c r="AC52" s="3" t="inlineStr">
        <is>
          <t>Event-versus-state and instant-versus-window meaning must be fixed before depth encoding.</t>
        </is>
      </c>
      <c r="AD52" s="3" t="inlineStr"/>
      <c r="AE52" s="3" t="inlineStr">
        <is>
          <t>VERBATIM_PAPER_TASK_OR_EXAMPLE</t>
        </is>
      </c>
      <c r="AF52" s="3" t="inlineStr">
        <is>
          <t>SERVER_CHECKED_2026-09-13</t>
        </is>
      </c>
      <c r="AG52" s="3" t="inlineStr"/>
      <c r="AH52" s="3" t="inlineStr"/>
    </row>
    <row r="53" ht="45" customHeight="1">
      <c r="A53" s="3" t="inlineStr">
        <is>
          <t>E1-052</t>
        </is>
      </c>
      <c r="B53" s="3" t="inlineStr">
        <is>
          <t>new</t>
        </is>
      </c>
      <c r="C53" s="3" t="inlineStr"/>
      <c r="D53" s="3" t="inlineStr">
        <is>
          <t>research</t>
        </is>
      </c>
      <c r="E53" s="3" t="inlineStr">
        <is>
          <t>study stimulus</t>
        </is>
      </c>
      <c r="F53" s="3" t="inlineStr">
        <is>
          <t>Huang &amp; Cakmak, Supporting Mental Model Accuracy in TAP (UbiComp 2015)</t>
        </is>
      </c>
      <c r="G53" s="5" t="inlineStr">
        <is>
          <t>https://hcrlab.cs.washington.edu/assets/pdfs/2015/huang2015ubicomp.pdf</t>
        </is>
      </c>
      <c r="H53" s="3" t="inlineStr">
        <is>
          <t>Table 5 Q4</t>
        </is>
      </c>
      <c r="I53" s="3" t="inlineStr">
        <is>
          <t>2026-09-13</t>
        </is>
      </c>
      <c r="J53" s="3" t="inlineStr">
        <is>
          <t>If it is snowing, then turn the thermostat to 75 degrees F</t>
        </is>
      </c>
      <c r="K53" s="3" t="inlineStr"/>
      <c r="L53" s="3" t="inlineStr">
        <is>
          <t>IN_SCOPE</t>
        </is>
      </c>
      <c r="M53" s="3" t="inlineStr"/>
      <c r="N53" s="3" t="inlineStr"/>
      <c r="O53" s="3" t="inlineStr">
        <is>
          <t>event/state</t>
        </is>
      </c>
      <c r="P53" s="3" t="inlineStr">
        <is>
          <t>immediate/unspecified</t>
        </is>
      </c>
      <c r="Q53" s="3" t="inlineStr">
        <is>
          <t>sequence/composition; guard/branch</t>
        </is>
      </c>
      <c r="R53" s="3" t="inlineStr">
        <is>
          <t>none/unspecified</t>
        </is>
      </c>
      <c r="S53" s="3" t="inlineStr">
        <is>
          <t>single</t>
        </is>
      </c>
      <c r="T53" s="3" t="inlineStr">
        <is>
          <t>one-shot/unspecified</t>
        </is>
      </c>
      <c r="U53" s="3" t="inlineStr">
        <is>
          <t>R1, R6</t>
        </is>
      </c>
      <c r="V53" s="3" t="inlineStr"/>
      <c r="W53" s="3" t="inlineStr"/>
      <c r="X53" s="3" t="inlineStr">
        <is>
          <t>R1, R6</t>
        </is>
      </c>
      <c r="Y53" s="3" t="inlineStr">
        <is>
          <t>no</t>
        </is>
      </c>
      <c r="Z53" s="3" t="inlineStr">
        <is>
          <t>breadth_only_pending_depth_selection</t>
        </is>
      </c>
      <c r="AA53" s="3" t="inlineStr"/>
      <c r="AB53" s="3" t="inlineStr"/>
      <c r="AC53" s="3" t="inlineStr">
        <is>
          <t>Event-versus-state and instant-versus-window meaning must be fixed before depth encoding.</t>
        </is>
      </c>
      <c r="AD53" s="3" t="inlineStr"/>
      <c r="AE53" s="3" t="inlineStr">
        <is>
          <t>VERBATIM_PAPER_TASK_OR_EXAMPLE</t>
        </is>
      </c>
      <c r="AF53" s="3" t="inlineStr">
        <is>
          <t>SERVER_CHECKED_2026-09-13</t>
        </is>
      </c>
      <c r="AG53" s="3" t="inlineStr"/>
      <c r="AH53" s="3" t="inlineStr"/>
    </row>
    <row r="54" ht="45" customHeight="1">
      <c r="A54" s="3" t="inlineStr">
        <is>
          <t>E1-053</t>
        </is>
      </c>
      <c r="B54" s="3" t="inlineStr">
        <is>
          <t>new</t>
        </is>
      </c>
      <c r="C54" s="3" t="inlineStr"/>
      <c r="D54" s="3" t="inlineStr">
        <is>
          <t>research</t>
        </is>
      </c>
      <c r="E54" s="3" t="inlineStr">
        <is>
          <t>study stimulus</t>
        </is>
      </c>
      <c r="F54" s="3" t="inlineStr">
        <is>
          <t>Huang &amp; Cakmak, Supporting Mental Model Accuracy in TAP (UbiComp 2015)</t>
        </is>
      </c>
      <c r="G54" s="5" t="inlineStr">
        <is>
          <t>https://hcrlab.cs.washington.edu/assets/pdfs/2015/huang2015ubicomp.pdf</t>
        </is>
      </c>
      <c r="H54" s="3" t="inlineStr">
        <is>
          <t>Table 5 Q5</t>
        </is>
      </c>
      <c r="I54" s="3" t="inlineStr">
        <is>
          <t>2026-09-13</t>
        </is>
      </c>
      <c r="J54" s="3" t="inlineStr">
        <is>
          <t>If the time is between 7:00 am and 10:00 am and the outside temperature is below 40 degrees, then brew a pot of coffee</t>
        </is>
      </c>
      <c r="K54" s="3" t="inlineStr"/>
      <c r="L54" s="3" t="inlineStr">
        <is>
          <t>IN_SCOPE</t>
        </is>
      </c>
      <c r="M54" s="3" t="inlineStr"/>
      <c r="N54" s="3" t="inlineStr"/>
      <c r="O54" s="3" t="inlineStr">
        <is>
          <t>event/state; clock/calendar</t>
        </is>
      </c>
      <c r="P54" s="3" t="inlineStr">
        <is>
          <t>immediate/unspecified</t>
        </is>
      </c>
      <c r="Q54" s="3" t="inlineStr">
        <is>
          <t>sequence/composition; guard/branch</t>
        </is>
      </c>
      <c r="R54" s="3" t="inlineStr">
        <is>
          <t>none/unspecified</t>
        </is>
      </c>
      <c r="S54" s="3" t="inlineStr">
        <is>
          <t>multiple</t>
        </is>
      </c>
      <c r="T54" s="3" t="inlineStr">
        <is>
          <t>one-shot/unspecified</t>
        </is>
      </c>
      <c r="U54" s="3" t="inlineStr">
        <is>
          <t>R1, R5, R6, R9</t>
        </is>
      </c>
      <c r="V54" s="3" t="inlineStr"/>
      <c r="W54" s="3" t="inlineStr"/>
      <c r="X54" s="3" t="inlineStr">
        <is>
          <t>R1, R5, R6, R9</t>
        </is>
      </c>
      <c r="Y54" s="3" t="inlineStr">
        <is>
          <t>no</t>
        </is>
      </c>
      <c r="Z54" s="3" t="inlineStr">
        <is>
          <t>breadth_only_pending_depth_selection</t>
        </is>
      </c>
      <c r="AA54" s="3" t="inlineStr"/>
      <c r="AB54" s="3" t="inlineStr"/>
      <c r="AC54" s="3" t="inlineStr">
        <is>
          <t>Event-versus-state and instant-versus-window meaning must be fixed before depth encoding.</t>
        </is>
      </c>
      <c r="AD54" s="3" t="inlineStr"/>
      <c r="AE54" s="3" t="inlineStr">
        <is>
          <t>VERBATIM_PAPER_TASK_OR_EXAMPLE</t>
        </is>
      </c>
      <c r="AF54" s="3" t="inlineStr">
        <is>
          <t>SERVER_CHECKED_2026-09-13</t>
        </is>
      </c>
      <c r="AG54" s="3" t="inlineStr"/>
      <c r="AH54" s="3" t="inlineStr"/>
    </row>
    <row r="55" ht="45" customHeight="1">
      <c r="A55" s="3" t="inlineStr">
        <is>
          <t>E1-054</t>
        </is>
      </c>
      <c r="B55" s="3" t="inlineStr">
        <is>
          <t>new</t>
        </is>
      </c>
      <c r="C55" s="3" t="inlineStr"/>
      <c r="D55" s="3" t="inlineStr">
        <is>
          <t>official</t>
        </is>
      </c>
      <c r="E55" s="3" t="inlineStr">
        <is>
          <t>official example</t>
        </is>
      </c>
      <c r="F55" s="3" t="inlineStr">
        <is>
          <t>Google Home example scripted automations — Control a light with a switch</t>
        </is>
      </c>
      <c r="G55" s="5" t="inlineStr">
        <is>
          <t>https://developers.home.google.com/automations/example-scripts</t>
        </is>
      </c>
      <c r="H55" s="3" t="inlineStr">
        <is>
          <t>Section: Control a light with a switch</t>
        </is>
      </c>
      <c r="I55" s="3" t="inlineStr">
        <is>
          <t>2026-09-13</t>
        </is>
      </c>
      <c r="J55" s="3" t="inlineStr">
        <is>
          <t>When a switch is moved to the on position, turn on a light.</t>
        </is>
      </c>
      <c r="K55" s="3" t="inlineStr"/>
      <c r="L55" s="3" t="inlineStr">
        <is>
          <t>IN_SCOPE</t>
        </is>
      </c>
      <c r="M55" s="3" t="inlineStr"/>
      <c r="N55" s="3" t="inlineStr"/>
      <c r="O55" s="3" t="inlineStr">
        <is>
          <t>event/state</t>
        </is>
      </c>
      <c r="P55" s="3" t="inlineStr">
        <is>
          <t>immediate/unspecified</t>
        </is>
      </c>
      <c r="Q55" s="3" t="inlineStr">
        <is>
          <t>guard/branch</t>
        </is>
      </c>
      <c r="R55" s="3" t="inlineStr">
        <is>
          <t>none/unspecified</t>
        </is>
      </c>
      <c r="S55" s="3" t="inlineStr">
        <is>
          <t>single</t>
        </is>
      </c>
      <c r="T55" s="3" t="inlineStr">
        <is>
          <t>one-shot/unspecified</t>
        </is>
      </c>
      <c r="U55" s="3" t="inlineStr">
        <is>
          <t>R1</t>
        </is>
      </c>
      <c r="V55" s="3" t="inlineStr"/>
      <c r="W55" s="3" t="inlineStr"/>
      <c r="X55" s="3" t="inlineStr">
        <is>
          <t>R1</t>
        </is>
      </c>
      <c r="Y55" s="3" t="inlineStr">
        <is>
          <t>no</t>
        </is>
      </c>
      <c r="Z55" s="3" t="inlineStr">
        <is>
          <t>breadth_only_pending_depth_selection</t>
        </is>
      </c>
      <c r="AA55" s="3" t="inlineStr"/>
      <c r="AB55" s="3" t="inlineStr"/>
      <c r="AC55" s="3" t="inlineStr"/>
      <c r="AD55" s="3" t="inlineStr"/>
      <c r="AE55" s="3" t="inlineStr">
        <is>
          <t>OFFICIAL_DESCRIPTION_OR_STRUCTURED_EXTRACTION</t>
        </is>
      </c>
      <c r="AF55" s="3" t="inlineStr">
        <is>
          <t>SERVER_CHECKED_2026-09-13</t>
        </is>
      </c>
      <c r="AG55" s="3" t="inlineStr"/>
      <c r="AH55" s="3" t="inlineStr"/>
    </row>
    <row r="56" ht="45" customHeight="1">
      <c r="A56" s="3" t="inlineStr">
        <is>
          <t>E1-055</t>
        </is>
      </c>
      <c r="B56" s="3" t="inlineStr">
        <is>
          <t>new</t>
        </is>
      </c>
      <c r="C56" s="3" t="inlineStr"/>
      <c r="D56" s="3" t="inlineStr">
        <is>
          <t>official</t>
        </is>
      </c>
      <c r="E56" s="3" t="inlineStr">
        <is>
          <t>official example</t>
        </is>
      </c>
      <c r="F56" s="3" t="inlineStr">
        <is>
          <t>Google Home example scripted automations — Schedule lights and blinds</t>
        </is>
      </c>
      <c r="G56" s="5" t="inlineStr">
        <is>
          <t>https://developers.home.google.com/automations/example-scripts</t>
        </is>
      </c>
      <c r="H56" s="3" t="inlineStr">
        <is>
          <t>Section: Schedule lights and blinds</t>
        </is>
      </c>
      <c r="I56" s="3" t="inlineStr">
        <is>
          <t>2026-09-13</t>
        </is>
      </c>
      <c r="J56" s="3" t="inlineStr">
        <is>
          <t>At 10pm, dim the lights and close the blinds.</t>
        </is>
      </c>
      <c r="K56" s="3" t="inlineStr"/>
      <c r="L56" s="3" t="inlineStr">
        <is>
          <t>IN_SCOPE</t>
        </is>
      </c>
      <c r="M56" s="3" t="inlineStr"/>
      <c r="N56" s="3" t="inlineStr"/>
      <c r="O56" s="3" t="inlineStr">
        <is>
          <t>clock/calendar</t>
        </is>
      </c>
      <c r="P56" s="3" t="inlineStr">
        <is>
          <t>immediate/unspecified</t>
        </is>
      </c>
      <c r="Q56" s="3" t="inlineStr">
        <is>
          <t>sequence/composition</t>
        </is>
      </c>
      <c r="R56" s="3" t="inlineStr">
        <is>
          <t>none/unspecified</t>
        </is>
      </c>
      <c r="S56" s="3" t="inlineStr">
        <is>
          <t>multiple</t>
        </is>
      </c>
      <c r="T56" s="3" t="inlineStr">
        <is>
          <t>one-shot/unspecified</t>
        </is>
      </c>
      <c r="U56" s="3" t="inlineStr">
        <is>
          <t>R9</t>
        </is>
      </c>
      <c r="V56" s="3" t="inlineStr"/>
      <c r="W56" s="3" t="inlineStr"/>
      <c r="X56" s="3" t="inlineStr">
        <is>
          <t>R9</t>
        </is>
      </c>
      <c r="Y56" s="3" t="inlineStr">
        <is>
          <t>no</t>
        </is>
      </c>
      <c r="Z56" s="3" t="inlineStr">
        <is>
          <t>breadth_only_pending_depth_selection</t>
        </is>
      </c>
      <c r="AA56" s="3" t="inlineStr"/>
      <c r="AB56" s="3" t="inlineStr"/>
      <c r="AC56" s="3" t="inlineStr"/>
      <c r="AD56" s="3" t="inlineStr"/>
      <c r="AE56" s="3" t="inlineStr">
        <is>
          <t>OFFICIAL_DESCRIPTION_OR_STRUCTURED_EXTRACTION</t>
        </is>
      </c>
      <c r="AF56" s="3" t="inlineStr">
        <is>
          <t>SERVER_CHECKED_2026-09-13</t>
        </is>
      </c>
      <c r="AG56" s="3" t="inlineStr"/>
      <c r="AH56" s="3" t="inlineStr"/>
    </row>
    <row r="57" ht="45" customHeight="1">
      <c r="A57" s="3" t="inlineStr">
        <is>
          <t>E1-056</t>
        </is>
      </c>
      <c r="B57" s="3" t="inlineStr">
        <is>
          <t>new</t>
        </is>
      </c>
      <c r="C57" s="3" t="inlineStr"/>
      <c r="D57" s="3" t="inlineStr">
        <is>
          <t>official</t>
        </is>
      </c>
      <c r="E57" s="3" t="inlineStr">
        <is>
          <t>official example</t>
        </is>
      </c>
      <c r="F57" s="3" t="inlineStr">
        <is>
          <t>Google Home example scripted automations — Control camera based on household presence</t>
        </is>
      </c>
      <c r="G57" s="5" t="inlineStr">
        <is>
          <t>https://developers.home.google.com/automations/example-scripts</t>
        </is>
      </c>
      <c r="H57" s="3" t="inlineStr">
        <is>
          <t>Section: Control camera based on household presence</t>
        </is>
      </c>
      <c r="I57" s="3" t="inlineStr">
        <is>
          <t>2026-09-13</t>
        </is>
      </c>
      <c r="J57" s="3" t="inlineStr">
        <is>
          <t>When the first person comes home, turn off cameras.</t>
        </is>
      </c>
      <c r="K57" s="3" t="inlineStr"/>
      <c r="L57" s="3" t="inlineStr">
        <is>
          <t>IN_SCOPE</t>
        </is>
      </c>
      <c r="M57" s="3" t="inlineStr"/>
      <c r="N57" s="3" t="inlineStr"/>
      <c r="O57" s="3" t="inlineStr">
        <is>
          <t>event/state</t>
        </is>
      </c>
      <c r="P57" s="3" t="inlineStr">
        <is>
          <t>immediate/unspecified</t>
        </is>
      </c>
      <c r="Q57" s="3" t="inlineStr">
        <is>
          <t>guard/branch</t>
        </is>
      </c>
      <c r="R57" s="3" t="inlineStr">
        <is>
          <t>none/unspecified</t>
        </is>
      </c>
      <c r="S57" s="3" t="inlineStr">
        <is>
          <t>single</t>
        </is>
      </c>
      <c r="T57" s="3" t="inlineStr">
        <is>
          <t>one-shot/unspecified</t>
        </is>
      </c>
      <c r="U57" s="3" t="inlineStr">
        <is>
          <t>R1, R9</t>
        </is>
      </c>
      <c r="V57" s="3" t="inlineStr"/>
      <c r="W57" s="3" t="inlineStr"/>
      <c r="X57" s="3" t="inlineStr">
        <is>
          <t>R1</t>
        </is>
      </c>
      <c r="Y57" s="3" t="inlineStr">
        <is>
          <t>no</t>
        </is>
      </c>
      <c r="Z57" s="3" t="inlineStr">
        <is>
          <t>breadth_only_pending_depth_selection</t>
        </is>
      </c>
      <c r="AA57" s="3" t="inlineStr"/>
      <c r="AB57" s="3" t="inlineStr"/>
      <c r="AC57" s="3" t="inlineStr"/>
      <c r="AD57" s="3" t="inlineStr"/>
      <c r="AE57" s="3" t="inlineStr">
        <is>
          <t>OFFICIAL_DESCRIPTION_OR_STRUCTURED_EXTRACTION</t>
        </is>
      </c>
      <c r="AF57" s="3" t="inlineStr">
        <is>
          <t>SERVER_CHECKED_2026-09-13</t>
        </is>
      </c>
      <c r="AG57" s="3" t="inlineStr"/>
      <c r="AH57" s="3" t="inlineStr"/>
    </row>
    <row r="58" ht="45" customHeight="1">
      <c r="A58" s="3" t="inlineStr">
        <is>
          <t>E1-057</t>
        </is>
      </c>
      <c r="B58" s="3" t="inlineStr">
        <is>
          <t>new</t>
        </is>
      </c>
      <c r="C58" s="3" t="inlineStr"/>
      <c r="D58" s="3" t="inlineStr">
        <is>
          <t>official</t>
        </is>
      </c>
      <c r="E58" s="3" t="inlineStr">
        <is>
          <t>official example</t>
        </is>
      </c>
      <c r="F58" s="3" t="inlineStr">
        <is>
          <t>Google Home example scripted automations — Vacuum while everyone is away</t>
        </is>
      </c>
      <c r="G58" s="5" t="inlineStr">
        <is>
          <t>https://developers.home.google.com/automations/example-scripts</t>
        </is>
      </c>
      <c r="H58" s="3" t="inlineStr">
        <is>
          <t>Section: Vacuum while everyone is away</t>
        </is>
      </c>
      <c r="I58" s="3" t="inlineStr">
        <is>
          <t>2026-09-13</t>
        </is>
      </c>
      <c r="J58" s="3" t="inlineStr">
        <is>
          <t>When the home is unoccupied, run the vacuum; when someone is home, stop the vacuum.</t>
        </is>
      </c>
      <c r="K58" s="3" t="inlineStr"/>
      <c r="L58" s="3" t="inlineStr">
        <is>
          <t>IN_SCOPE</t>
        </is>
      </c>
      <c r="M58" s="3" t="inlineStr"/>
      <c r="N58" s="3" t="inlineStr"/>
      <c r="O58" s="3" t="inlineStr">
        <is>
          <t>event/state</t>
        </is>
      </c>
      <c r="P58" s="3" t="inlineStr">
        <is>
          <t>immediate/unspecified</t>
        </is>
      </c>
      <c r="Q58" s="3" t="inlineStr">
        <is>
          <t>guard/branch</t>
        </is>
      </c>
      <c r="R58" s="3" t="inlineStr">
        <is>
          <t>none/unspecified</t>
        </is>
      </c>
      <c r="S58" s="3" t="inlineStr">
        <is>
          <t>single</t>
        </is>
      </c>
      <c r="T58" s="3" t="inlineStr">
        <is>
          <t>one-shot/unspecified</t>
        </is>
      </c>
      <c r="U58" s="3" t="inlineStr">
        <is>
          <t>R1</t>
        </is>
      </c>
      <c r="V58" s="3" t="inlineStr"/>
      <c r="W58" s="3" t="inlineStr"/>
      <c r="X58" s="3" t="inlineStr">
        <is>
          <t>R1</t>
        </is>
      </c>
      <c r="Y58" s="3" t="inlineStr">
        <is>
          <t>no</t>
        </is>
      </c>
      <c r="Z58" s="3" t="inlineStr">
        <is>
          <t>breadth_only_pending_depth_selection</t>
        </is>
      </c>
      <c r="AA58" s="3" t="inlineStr"/>
      <c r="AB58" s="3" t="inlineStr"/>
      <c r="AC58" s="3" t="inlineStr"/>
      <c r="AD58" s="3" t="inlineStr"/>
      <c r="AE58" s="3" t="inlineStr">
        <is>
          <t>OFFICIAL_DESCRIPTION_OR_STRUCTURED_EXTRACTION</t>
        </is>
      </c>
      <c r="AF58" s="3" t="inlineStr">
        <is>
          <t>SERVER_CHECKED_2026-09-13</t>
        </is>
      </c>
      <c r="AG58" s="3" t="inlineStr"/>
      <c r="AH58" s="3" t="inlineStr"/>
    </row>
    <row r="59" ht="45" customHeight="1">
      <c r="A59" s="3" t="inlineStr">
        <is>
          <t>E1-058</t>
        </is>
      </c>
      <c r="B59" s="3" t="inlineStr">
        <is>
          <t>new</t>
        </is>
      </c>
      <c r="C59" s="3" t="inlineStr"/>
      <c r="D59" s="3" t="inlineStr">
        <is>
          <t>official</t>
        </is>
      </c>
      <c r="E59" s="3" t="inlineStr">
        <is>
          <t>official example</t>
        </is>
      </c>
      <c r="F59" s="3" t="inlineStr">
        <is>
          <t>Google Home example scripted automations — Dim lights and lower blinds when living room TV is on after dark</t>
        </is>
      </c>
      <c r="G59" s="5" t="inlineStr">
        <is>
          <t>https://developers.home.google.com/automations/example-scripts</t>
        </is>
      </c>
      <c r="H59" s="3" t="inlineStr">
        <is>
          <t>Section: Dim lights and lower blinds when living room TV is on after dark</t>
        </is>
      </c>
      <c r="I59" s="3" t="inlineStr">
        <is>
          <t>2026-09-13</t>
        </is>
      </c>
      <c r="J59" s="3" t="inlineStr">
        <is>
          <t>After dark, when the TV is on, dim the light and lower the blinds.</t>
        </is>
      </c>
      <c r="K59" s="3" t="inlineStr"/>
      <c r="L59" s="3" t="inlineStr">
        <is>
          <t>IN_SCOPE</t>
        </is>
      </c>
      <c r="M59" s="3" t="inlineStr"/>
      <c r="N59" s="3" t="inlineStr"/>
      <c r="O59" s="3" t="inlineStr">
        <is>
          <t>event/state; clock/calendar</t>
        </is>
      </c>
      <c r="P59" s="3" t="inlineStr">
        <is>
          <t>immediate/unspecified</t>
        </is>
      </c>
      <c r="Q59" s="3" t="inlineStr">
        <is>
          <t>sequence/composition; guard/branch</t>
        </is>
      </c>
      <c r="R59" s="3" t="inlineStr">
        <is>
          <t>none/unspecified</t>
        </is>
      </c>
      <c r="S59" s="3" t="inlineStr">
        <is>
          <t>multiple</t>
        </is>
      </c>
      <c r="T59" s="3" t="inlineStr">
        <is>
          <t>one-shot/unspecified</t>
        </is>
      </c>
      <c r="U59" s="3" t="inlineStr">
        <is>
          <t>R1, R2</t>
        </is>
      </c>
      <c r="V59" s="3" t="inlineStr"/>
      <c r="W59" s="3" t="inlineStr"/>
      <c r="X59" s="3" t="inlineStr">
        <is>
          <t>R1, R9</t>
        </is>
      </c>
      <c r="Y59" s="3" t="inlineStr">
        <is>
          <t>no</t>
        </is>
      </c>
      <c r="Z59" s="3" t="inlineStr">
        <is>
          <t>breadth_only_pending_depth_selection</t>
        </is>
      </c>
      <c r="AA59" s="3" t="inlineStr"/>
      <c r="AB59" s="3" t="inlineStr"/>
      <c r="AC59" s="3" t="inlineStr"/>
      <c r="AD59" s="3" t="inlineStr"/>
      <c r="AE59" s="3" t="inlineStr">
        <is>
          <t>OFFICIAL_DESCRIPTION_OR_STRUCTURED_EXTRACTION</t>
        </is>
      </c>
      <c r="AF59" s="3" t="inlineStr">
        <is>
          <t>SERVER_CHECKED_2026-09-13</t>
        </is>
      </c>
      <c r="AG59" s="3" t="inlineStr"/>
      <c r="AH59" s="3" t="inlineStr"/>
    </row>
    <row r="60" ht="45" customHeight="1">
      <c r="A60" s="3" t="inlineStr">
        <is>
          <t>E1-059</t>
        </is>
      </c>
      <c r="B60" s="3" t="inlineStr">
        <is>
          <t>new</t>
        </is>
      </c>
      <c r="C60" s="3" t="inlineStr"/>
      <c r="D60" s="3" t="inlineStr">
        <is>
          <t>official</t>
        </is>
      </c>
      <c r="E60" s="3" t="inlineStr">
        <is>
          <t>official example</t>
        </is>
      </c>
      <c r="F60" s="3" t="inlineStr">
        <is>
          <t>Google Home example scripted automations — Cool weather heating</t>
        </is>
      </c>
      <c r="G60" s="5" t="inlineStr">
        <is>
          <t>https://developers.home.google.com/automations/example-scripts</t>
        </is>
      </c>
      <c r="H60" s="3" t="inlineStr">
        <is>
          <t>Section: Cool weather heating</t>
        </is>
      </c>
      <c r="I60" s="3" t="inlineStr">
        <is>
          <t>2026-09-13</t>
        </is>
      </c>
      <c r="J60" s="3" t="inlineStr">
        <is>
          <t>If it is cool, open blinds, turn on fans, and adjust thermostats.</t>
        </is>
      </c>
      <c r="K60" s="3" t="inlineStr"/>
      <c r="L60" s="3" t="inlineStr">
        <is>
          <t>IN_SCOPE</t>
        </is>
      </c>
      <c r="M60" s="3" t="inlineStr"/>
      <c r="N60" s="3" t="inlineStr"/>
      <c r="O60" s="3" t="inlineStr">
        <is>
          <t>event/state</t>
        </is>
      </c>
      <c r="P60" s="3" t="inlineStr">
        <is>
          <t>immediate/unspecified</t>
        </is>
      </c>
      <c r="Q60" s="3" t="inlineStr">
        <is>
          <t>sequence/composition; guard/branch</t>
        </is>
      </c>
      <c r="R60" s="3" t="inlineStr">
        <is>
          <t>none/unspecified</t>
        </is>
      </c>
      <c r="S60" s="3" t="inlineStr">
        <is>
          <t>multiple</t>
        </is>
      </c>
      <c r="T60" s="3" t="inlineStr">
        <is>
          <t>one-shot/unspecified</t>
        </is>
      </c>
      <c r="U60" s="3" t="inlineStr">
        <is>
          <t>R1</t>
        </is>
      </c>
      <c r="V60" s="3" t="inlineStr"/>
      <c r="W60" s="3" t="inlineStr"/>
      <c r="X60" s="3" t="inlineStr">
        <is>
          <t>R1</t>
        </is>
      </c>
      <c r="Y60" s="3" t="inlineStr">
        <is>
          <t>no</t>
        </is>
      </c>
      <c r="Z60" s="3" t="inlineStr">
        <is>
          <t>breadth_only_pending_depth_selection</t>
        </is>
      </c>
      <c r="AA60" s="3" t="inlineStr"/>
      <c r="AB60" s="3" t="inlineStr"/>
      <c r="AC60" s="3" t="inlineStr"/>
      <c r="AD60" s="3" t="inlineStr"/>
      <c r="AE60" s="3" t="inlineStr">
        <is>
          <t>OFFICIAL_DESCRIPTION_OR_STRUCTURED_EXTRACTION</t>
        </is>
      </c>
      <c r="AF60" s="3" t="inlineStr">
        <is>
          <t>SERVER_CHECKED_2026-09-13</t>
        </is>
      </c>
      <c r="AG60" s="3" t="inlineStr"/>
      <c r="AH60" s="3" t="inlineStr"/>
    </row>
    <row r="61" ht="45" customHeight="1">
      <c r="A61" s="3" t="inlineStr">
        <is>
          <t>E1-060</t>
        </is>
      </c>
      <c r="B61" s="3" t="inlineStr">
        <is>
          <t>new</t>
        </is>
      </c>
      <c r="C61" s="3" t="inlineStr"/>
      <c r="D61" s="3" t="inlineStr">
        <is>
          <t>official</t>
        </is>
      </c>
      <c r="E61" s="3" t="inlineStr">
        <is>
          <t>official example</t>
        </is>
      </c>
      <c r="F61" s="3" t="inlineStr">
        <is>
          <t>Google Home example scripted automations — Warm weather ventilation</t>
        </is>
      </c>
      <c r="G61" s="5" t="inlineStr">
        <is>
          <t>https://developers.home.google.com/automations/example-scripts</t>
        </is>
      </c>
      <c r="H61" s="3" t="inlineStr">
        <is>
          <t>Section: Warm weather ventilation</t>
        </is>
      </c>
      <c r="I61" s="3" t="inlineStr">
        <is>
          <t>2026-09-13</t>
        </is>
      </c>
      <c r="J61" s="3" t="inlineStr">
        <is>
          <t>If it is warm, close blinds, turn on fans, and adjust thermostats.</t>
        </is>
      </c>
      <c r="K61" s="3" t="inlineStr"/>
      <c r="L61" s="3" t="inlineStr">
        <is>
          <t>IN_SCOPE</t>
        </is>
      </c>
      <c r="M61" s="3" t="inlineStr"/>
      <c r="N61" s="3" t="inlineStr"/>
      <c r="O61" s="3" t="inlineStr">
        <is>
          <t>event/state</t>
        </is>
      </c>
      <c r="P61" s="3" t="inlineStr">
        <is>
          <t>immediate/unspecified</t>
        </is>
      </c>
      <c r="Q61" s="3" t="inlineStr">
        <is>
          <t>sequence/composition; guard/branch</t>
        </is>
      </c>
      <c r="R61" s="3" t="inlineStr">
        <is>
          <t>none/unspecified</t>
        </is>
      </c>
      <c r="S61" s="3" t="inlineStr">
        <is>
          <t>multiple</t>
        </is>
      </c>
      <c r="T61" s="3" t="inlineStr">
        <is>
          <t>one-shot/unspecified</t>
        </is>
      </c>
      <c r="U61" s="3" t="inlineStr">
        <is>
          <t>R1</t>
        </is>
      </c>
      <c r="V61" s="3" t="inlineStr"/>
      <c r="W61" s="3" t="inlineStr"/>
      <c r="X61" s="3" t="inlineStr">
        <is>
          <t>R1</t>
        </is>
      </c>
      <c r="Y61" s="3" t="inlineStr">
        <is>
          <t>no</t>
        </is>
      </c>
      <c r="Z61" s="3" t="inlineStr">
        <is>
          <t>breadth_only_pending_depth_selection</t>
        </is>
      </c>
      <c r="AA61" s="3" t="inlineStr"/>
      <c r="AB61" s="3" t="inlineStr"/>
      <c r="AC61" s="3" t="inlineStr"/>
      <c r="AD61" s="3" t="inlineStr"/>
      <c r="AE61" s="3" t="inlineStr">
        <is>
          <t>OFFICIAL_DESCRIPTION_OR_STRUCTURED_EXTRACTION</t>
        </is>
      </c>
      <c r="AF61" s="3" t="inlineStr">
        <is>
          <t>SERVER_CHECKED_2026-09-13</t>
        </is>
      </c>
      <c r="AG61" s="3" t="inlineStr"/>
      <c r="AH61" s="3" t="inlineStr"/>
    </row>
    <row r="62" ht="45" customHeight="1">
      <c r="A62" s="3" t="inlineStr">
        <is>
          <t>E1-061</t>
        </is>
      </c>
      <c r="B62" s="3" t="inlineStr">
        <is>
          <t>new</t>
        </is>
      </c>
      <c r="C62" s="3" t="inlineStr"/>
      <c r="D62" s="3" t="inlineStr">
        <is>
          <t>official</t>
        </is>
      </c>
      <c r="E62" s="3" t="inlineStr">
        <is>
          <t>official example</t>
        </is>
      </c>
      <c r="F62" s="3" t="inlineStr">
        <is>
          <t>Google Home example scripted automations — Scheduled lighting with multiple times</t>
        </is>
      </c>
      <c r="G62" s="5" t="inlineStr">
        <is>
          <t>https://developers.home.google.com/automations/example-scripts</t>
        </is>
      </c>
      <c r="H62" s="3" t="inlineStr">
        <is>
          <t>Section: Scheduled lighting with multiple times</t>
        </is>
      </c>
      <c r="I62" s="3" t="inlineStr">
        <is>
          <t>2026-09-13</t>
        </is>
      </c>
      <c r="J62" s="3" t="inlineStr">
        <is>
          <t>Turn on the lights at sunset, dim them at 10pm and turn them off at midnight.</t>
        </is>
      </c>
      <c r="K62" s="3" t="inlineStr"/>
      <c r="L62" s="3" t="inlineStr">
        <is>
          <t>IN_SCOPE</t>
        </is>
      </c>
      <c r="M62" s="3" t="inlineStr"/>
      <c r="N62" s="3" t="inlineStr"/>
      <c r="O62" s="3" t="inlineStr">
        <is>
          <t>clock/calendar</t>
        </is>
      </c>
      <c r="P62" s="3" t="inlineStr">
        <is>
          <t>immediate/unspecified</t>
        </is>
      </c>
      <c r="Q62" s="3" t="inlineStr">
        <is>
          <t>sequence/composition</t>
        </is>
      </c>
      <c r="R62" s="3" t="inlineStr">
        <is>
          <t>none/unspecified</t>
        </is>
      </c>
      <c r="S62" s="3" t="inlineStr">
        <is>
          <t>multiple</t>
        </is>
      </c>
      <c r="T62" s="3" t="inlineStr">
        <is>
          <t>one-shot/unspecified</t>
        </is>
      </c>
      <c r="U62" s="3" t="inlineStr">
        <is>
          <t>R9</t>
        </is>
      </c>
      <c r="V62" s="3" t="inlineStr"/>
      <c r="W62" s="3" t="inlineStr"/>
      <c r="X62" s="3" t="inlineStr">
        <is>
          <t>R9</t>
        </is>
      </c>
      <c r="Y62" s="3" t="inlineStr">
        <is>
          <t>no</t>
        </is>
      </c>
      <c r="Z62" s="3" t="inlineStr">
        <is>
          <t>proposed_depth_addition</t>
        </is>
      </c>
      <c r="AA62" s="3" t="inlineStr">
        <is>
          <t>8</t>
        </is>
      </c>
      <c r="AB62" s="3" t="inlineStr">
        <is>
          <t>Official bidirectional light synchronization example.</t>
        </is>
      </c>
      <c r="AC62" s="3" t="inlineStr"/>
      <c r="AD62" s="3" t="inlineStr"/>
      <c r="AE62" s="3" t="inlineStr">
        <is>
          <t>OFFICIAL_DESCRIPTION_OR_STRUCTURED_EXTRACTION</t>
        </is>
      </c>
      <c r="AF62" s="3" t="inlineStr">
        <is>
          <t>SERVER_CHECKED_2026-09-13</t>
        </is>
      </c>
      <c r="AG62" s="3" t="inlineStr"/>
      <c r="AH62" s="3" t="inlineStr"/>
    </row>
    <row r="63" ht="45" customHeight="1">
      <c r="A63" s="3" t="inlineStr">
        <is>
          <t>E1-062</t>
        </is>
      </c>
      <c r="B63" s="3" t="inlineStr">
        <is>
          <t>new</t>
        </is>
      </c>
      <c r="C63" s="3" t="inlineStr"/>
      <c r="D63" s="3" t="inlineStr">
        <is>
          <t>official</t>
        </is>
      </c>
      <c r="E63" s="3" t="inlineStr">
        <is>
          <t>official example</t>
        </is>
      </c>
      <c r="F63" s="3" t="inlineStr">
        <is>
          <t>Google Home example scripted automations — Synchronize two lights</t>
        </is>
      </c>
      <c r="G63" s="5" t="inlineStr">
        <is>
          <t>https://developers.home.google.com/automations/example-scripts</t>
        </is>
      </c>
      <c r="H63" s="3" t="inlineStr">
        <is>
          <t>Section: Synchronize two lights</t>
        </is>
      </c>
      <c r="I63" s="3" t="inlineStr">
        <is>
          <t>2026-09-13</t>
        </is>
      </c>
      <c r="J63" s="3" t="inlineStr">
        <is>
          <t>If one light is turned on, turn the other on, and if one light is turned off, turn the other off.</t>
        </is>
      </c>
      <c r="K63" s="3" t="inlineStr"/>
      <c r="L63" s="3" t="inlineStr">
        <is>
          <t>IN_SCOPE</t>
        </is>
      </c>
      <c r="M63" s="3" t="inlineStr"/>
      <c r="N63" s="3" t="inlineStr"/>
      <c r="O63" s="3" t="inlineStr">
        <is>
          <t>event/state</t>
        </is>
      </c>
      <c r="P63" s="3" t="inlineStr">
        <is>
          <t>immediate/unspecified</t>
        </is>
      </c>
      <c r="Q63" s="3" t="inlineStr">
        <is>
          <t>sequence/composition; guard/branch</t>
        </is>
      </c>
      <c r="R63" s="3" t="inlineStr">
        <is>
          <t>none/unspecified</t>
        </is>
      </c>
      <c r="S63" s="3" t="inlineStr">
        <is>
          <t>multiple</t>
        </is>
      </c>
      <c r="T63" s="3" t="inlineStr">
        <is>
          <t>one-shot/unspecified</t>
        </is>
      </c>
      <c r="U63" s="3" t="inlineStr">
        <is>
          <t>R1, R6</t>
        </is>
      </c>
      <c r="V63" s="3" t="inlineStr"/>
      <c r="W63" s="3" t="inlineStr"/>
      <c r="X63" s="3" t="inlineStr">
        <is>
          <t>R1, R6</t>
        </is>
      </c>
      <c r="Y63" s="3" t="inlineStr">
        <is>
          <t>no</t>
        </is>
      </c>
      <c r="Z63" s="3" t="inlineStr">
        <is>
          <t>breadth_only_pending_depth_selection</t>
        </is>
      </c>
      <c r="AA63" s="3" t="inlineStr"/>
      <c r="AB63" s="3" t="inlineStr"/>
      <c r="AC63" s="3" t="inlineStr"/>
      <c r="AD63" s="3" t="inlineStr"/>
      <c r="AE63" s="3" t="inlineStr">
        <is>
          <t>OFFICIAL_DESCRIPTION_OR_STRUCTURED_EXTRACTION</t>
        </is>
      </c>
      <c r="AF63" s="3" t="inlineStr">
        <is>
          <t>SERVER_CHECKED_2026-09-13</t>
        </is>
      </c>
      <c r="AG63" s="3" t="inlineStr"/>
      <c r="AH63" s="3" t="inlineStr"/>
    </row>
    <row r="64" ht="45" customHeight="1">
      <c r="A64" s="3" t="inlineStr">
        <is>
          <t>E1-063</t>
        </is>
      </c>
      <c r="B64" s="3" t="inlineStr">
        <is>
          <t>new</t>
        </is>
      </c>
      <c r="C64" s="3" t="inlineStr"/>
      <c r="D64" s="3" t="inlineStr">
        <is>
          <t>official</t>
        </is>
      </c>
      <c r="E64" s="3" t="inlineStr">
        <is>
          <t>official example</t>
        </is>
      </c>
      <c r="F64" s="3" t="inlineStr">
        <is>
          <t>Google Home example scripted automations — Flash lights when smoke alarm is active</t>
        </is>
      </c>
      <c r="G64" s="5" t="inlineStr">
        <is>
          <t>https://developers.home.google.com/automations/example-scripts</t>
        </is>
      </c>
      <c r="H64" s="3" t="inlineStr">
        <is>
          <t>Section: Flash lights when smoke alarm is active</t>
        </is>
      </c>
      <c r="I64" s="3" t="inlineStr">
        <is>
          <t>2026-09-13</t>
        </is>
      </c>
      <c r="J64" s="3" t="inlineStr">
        <is>
          <t>When smoke is detected, flash lights red and blue.</t>
        </is>
      </c>
      <c r="K64" s="3" t="inlineStr"/>
      <c r="L64" s="3" t="inlineStr">
        <is>
          <t>IN_SCOPE</t>
        </is>
      </c>
      <c r="M64" s="3" t="inlineStr"/>
      <c r="N64" s="3" t="inlineStr"/>
      <c r="O64" s="3" t="inlineStr">
        <is>
          <t>event/state</t>
        </is>
      </c>
      <c r="P64" s="3" t="inlineStr">
        <is>
          <t>immediate/unspecified</t>
        </is>
      </c>
      <c r="Q64" s="3" t="inlineStr">
        <is>
          <t>sequence/composition; guard/branch</t>
        </is>
      </c>
      <c r="R64" s="3" t="inlineStr">
        <is>
          <t>none/unspecified</t>
        </is>
      </c>
      <c r="S64" s="3" t="inlineStr">
        <is>
          <t>multiple</t>
        </is>
      </c>
      <c r="T64" s="3" t="inlineStr">
        <is>
          <t>one-shot/unspecified</t>
        </is>
      </c>
      <c r="U64" s="3" t="inlineStr">
        <is>
          <t>R1</t>
        </is>
      </c>
      <c r="V64" s="3" t="inlineStr"/>
      <c r="W64" s="3" t="inlineStr"/>
      <c r="X64" s="3" t="inlineStr">
        <is>
          <t>R1</t>
        </is>
      </c>
      <c r="Y64" s="3" t="inlineStr">
        <is>
          <t>no</t>
        </is>
      </c>
      <c r="Z64" s="3" t="inlineStr">
        <is>
          <t>breadth_only_pending_depth_selection</t>
        </is>
      </c>
      <c r="AA64" s="3" t="inlineStr"/>
      <c r="AB64" s="3" t="inlineStr"/>
      <c r="AC64" s="3" t="inlineStr"/>
      <c r="AD64" s="3" t="inlineStr"/>
      <c r="AE64" s="3" t="inlineStr">
        <is>
          <t>OFFICIAL_DESCRIPTION_OR_STRUCTURED_EXTRACTION</t>
        </is>
      </c>
      <c r="AF64" s="3" t="inlineStr">
        <is>
          <t>SERVER_CHECKED_2026-09-13</t>
        </is>
      </c>
      <c r="AG64" s="3" t="inlineStr"/>
      <c r="AH64" s="3" t="inlineStr"/>
    </row>
    <row r="65" ht="45" customHeight="1">
      <c r="A65" s="3" t="inlineStr">
        <is>
          <t>E1-064</t>
        </is>
      </c>
      <c r="B65" s="3" t="inlineStr">
        <is>
          <t>new</t>
        </is>
      </c>
      <c r="C65" s="3" t="inlineStr"/>
      <c r="D65" s="3" t="inlineStr">
        <is>
          <t>official</t>
        </is>
      </c>
      <c r="E65" s="3" t="inlineStr">
        <is>
          <t>official example</t>
        </is>
      </c>
      <c r="F65" s="3" t="inlineStr">
        <is>
          <t>Google Home example scripted automations — Turn on air purifier when indoor air quality is poor</t>
        </is>
      </c>
      <c r="G65" s="5" t="inlineStr">
        <is>
          <t>https://developers.home.google.com/automations/example-scripts</t>
        </is>
      </c>
      <c r="H65" s="3" t="inlineStr">
        <is>
          <t>Section: Turn on air purifier when indoor air quality is poor</t>
        </is>
      </c>
      <c r="I65" s="3" t="inlineStr">
        <is>
          <t>2026-09-13</t>
        </is>
      </c>
      <c r="J65" s="3" t="inlineStr">
        <is>
          <t>When indoor air quality is poor turn on air purifier at high speed.</t>
        </is>
      </c>
      <c r="K65" s="3" t="inlineStr"/>
      <c r="L65" s="3" t="inlineStr">
        <is>
          <t>IN_SCOPE</t>
        </is>
      </c>
      <c r="M65" s="3" t="inlineStr"/>
      <c r="N65" s="3" t="inlineStr"/>
      <c r="O65" s="3" t="inlineStr">
        <is>
          <t>event/state</t>
        </is>
      </c>
      <c r="P65" s="3" t="inlineStr">
        <is>
          <t>immediate/unspecified</t>
        </is>
      </c>
      <c r="Q65" s="3" t="inlineStr">
        <is>
          <t>guard/branch</t>
        </is>
      </c>
      <c r="R65" s="3" t="inlineStr">
        <is>
          <t>none/unspecified</t>
        </is>
      </c>
      <c r="S65" s="3" t="inlineStr">
        <is>
          <t>single</t>
        </is>
      </c>
      <c r="T65" s="3" t="inlineStr">
        <is>
          <t>one-shot/unspecified</t>
        </is>
      </c>
      <c r="U65" s="3" t="inlineStr">
        <is>
          <t>R1</t>
        </is>
      </c>
      <c r="V65" s="3" t="inlineStr"/>
      <c r="W65" s="3" t="inlineStr"/>
      <c r="X65" s="3" t="inlineStr">
        <is>
          <t>R1</t>
        </is>
      </c>
      <c r="Y65" s="3" t="inlineStr">
        <is>
          <t>no</t>
        </is>
      </c>
      <c r="Z65" s="3" t="inlineStr">
        <is>
          <t>breadth_only_pending_depth_selection</t>
        </is>
      </c>
      <c r="AA65" s="3" t="inlineStr"/>
      <c r="AB65" s="3" t="inlineStr"/>
      <c r="AC65" s="3" t="inlineStr"/>
      <c r="AD65" s="3" t="inlineStr"/>
      <c r="AE65" s="3" t="inlineStr">
        <is>
          <t>OFFICIAL_DESCRIPTION_OR_STRUCTURED_EXTRACTION</t>
        </is>
      </c>
      <c r="AF65" s="3" t="inlineStr">
        <is>
          <t>SERVER_CHECKED_2026-09-13</t>
        </is>
      </c>
      <c r="AG65" s="3" t="inlineStr"/>
      <c r="AH65" s="3" t="inlineStr"/>
    </row>
    <row r="66" ht="45" customHeight="1">
      <c r="A66" s="3" t="inlineStr">
        <is>
          <t>E1-065</t>
        </is>
      </c>
      <c r="B66" s="3" t="inlineStr">
        <is>
          <t>new</t>
        </is>
      </c>
      <c r="C66" s="3" t="inlineStr"/>
      <c r="D66" s="3" t="inlineStr">
        <is>
          <t>official</t>
        </is>
      </c>
      <c r="E66" s="3" t="inlineStr">
        <is>
          <t>official example</t>
        </is>
      </c>
      <c r="F66" s="3" t="inlineStr">
        <is>
          <t>Google Home example scripted automations — Nighttime unlock alert</t>
        </is>
      </c>
      <c r="G66" s="5" t="inlineStr">
        <is>
          <t>https://developers.home.google.com/automations/example-scripts</t>
        </is>
      </c>
      <c r="H66" s="3" t="inlineStr">
        <is>
          <t>Section: Nighttime unlock alert</t>
        </is>
      </c>
      <c r="I66" s="3" t="inlineStr">
        <is>
          <t>2026-09-13</t>
        </is>
      </c>
      <c r="J66" s="3" t="inlineStr">
        <is>
          <t>At night, when a lock is unlocked, turn on the light at full brightness.</t>
        </is>
      </c>
      <c r="K66" s="3" t="inlineStr"/>
      <c r="L66" s="3" t="inlineStr">
        <is>
          <t>IN_SCOPE</t>
        </is>
      </c>
      <c r="M66" s="3" t="inlineStr"/>
      <c r="N66" s="3" t="inlineStr"/>
      <c r="O66" s="3" t="inlineStr">
        <is>
          <t>event/state; clock/calendar</t>
        </is>
      </c>
      <c r="P66" s="3" t="inlineStr">
        <is>
          <t>immediate/unspecified</t>
        </is>
      </c>
      <c r="Q66" s="3" t="inlineStr">
        <is>
          <t>guard/branch</t>
        </is>
      </c>
      <c r="R66" s="3" t="inlineStr">
        <is>
          <t>none/unspecified</t>
        </is>
      </c>
      <c r="S66" s="3" t="inlineStr">
        <is>
          <t>single</t>
        </is>
      </c>
      <c r="T66" s="3" t="inlineStr">
        <is>
          <t>one-shot/unspecified</t>
        </is>
      </c>
      <c r="U66" s="3" t="inlineStr">
        <is>
          <t>R1, R9</t>
        </is>
      </c>
      <c r="V66" s="3" t="inlineStr"/>
      <c r="W66" s="3" t="inlineStr"/>
      <c r="X66" s="3" t="inlineStr">
        <is>
          <t>R1, R9</t>
        </is>
      </c>
      <c r="Y66" s="3" t="inlineStr">
        <is>
          <t>no</t>
        </is>
      </c>
      <c r="Z66" s="3" t="inlineStr">
        <is>
          <t>breadth_only_pending_depth_selection</t>
        </is>
      </c>
      <c r="AA66" s="3" t="inlineStr"/>
      <c r="AB66" s="3" t="inlineStr"/>
      <c r="AC66" s="3" t="inlineStr"/>
      <c r="AD66" s="3" t="inlineStr"/>
      <c r="AE66" s="3" t="inlineStr">
        <is>
          <t>OFFICIAL_DESCRIPTION_OR_STRUCTURED_EXTRACTION</t>
        </is>
      </c>
      <c r="AF66" s="3" t="inlineStr">
        <is>
          <t>SERVER_CHECKED_2026-09-13</t>
        </is>
      </c>
      <c r="AG66" s="3" t="inlineStr"/>
      <c r="AH66" s="3" t="inlineStr"/>
    </row>
    <row r="67" ht="45" customHeight="1">
      <c r="A67" s="3" t="inlineStr">
        <is>
          <t>E1-066</t>
        </is>
      </c>
      <c r="B67" s="3" t="inlineStr">
        <is>
          <t>new</t>
        </is>
      </c>
      <c r="C67" s="3" t="inlineStr"/>
      <c r="D67" s="3" t="inlineStr">
        <is>
          <t>official</t>
        </is>
      </c>
      <c r="E67" s="3" t="inlineStr">
        <is>
          <t>official example</t>
        </is>
      </c>
      <c r="F67" s="3" t="inlineStr">
        <is>
          <t>Google Home example scripted automations — Flash lights when carbon monoxide detected</t>
        </is>
      </c>
      <c r="G67" s="5" t="inlineStr">
        <is>
          <t>https://developers.home.google.com/automations/example-scripts</t>
        </is>
      </c>
      <c r="H67" s="3" t="inlineStr">
        <is>
          <t>Section: Flash lights when carbon monoxide detected</t>
        </is>
      </c>
      <c r="I67" s="3" t="inlineStr">
        <is>
          <t>2026-09-13</t>
        </is>
      </c>
      <c r="J67" s="3" t="inlineStr">
        <is>
          <t>When carbon monoxide is detected, flash the lights.</t>
        </is>
      </c>
      <c r="K67" s="3" t="inlineStr"/>
      <c r="L67" s="3" t="inlineStr">
        <is>
          <t>IN_SCOPE</t>
        </is>
      </c>
      <c r="M67" s="3" t="inlineStr"/>
      <c r="N67" s="3" t="inlineStr"/>
      <c r="O67" s="3" t="inlineStr">
        <is>
          <t>event/state</t>
        </is>
      </c>
      <c r="P67" s="3" t="inlineStr">
        <is>
          <t>immediate/unspecified</t>
        </is>
      </c>
      <c r="Q67" s="3" t="inlineStr">
        <is>
          <t>guard/branch</t>
        </is>
      </c>
      <c r="R67" s="3" t="inlineStr">
        <is>
          <t>none/unspecified</t>
        </is>
      </c>
      <c r="S67" s="3" t="inlineStr">
        <is>
          <t>single</t>
        </is>
      </c>
      <c r="T67" s="3" t="inlineStr">
        <is>
          <t>one-shot/unspecified</t>
        </is>
      </c>
      <c r="U67" s="3" t="inlineStr">
        <is>
          <t>R1</t>
        </is>
      </c>
      <c r="V67" s="3" t="inlineStr"/>
      <c r="W67" s="3" t="inlineStr"/>
      <c r="X67" s="3" t="inlineStr">
        <is>
          <t>R1</t>
        </is>
      </c>
      <c r="Y67" s="3" t="inlineStr">
        <is>
          <t>no</t>
        </is>
      </c>
      <c r="Z67" s="3" t="inlineStr">
        <is>
          <t>breadth_only_pending_depth_selection</t>
        </is>
      </c>
      <c r="AA67" s="3" t="inlineStr"/>
      <c r="AB67" s="3" t="inlineStr"/>
      <c r="AC67" s="3" t="inlineStr"/>
      <c r="AD67" s="3" t="inlineStr"/>
      <c r="AE67" s="3" t="inlineStr">
        <is>
          <t>OFFICIAL_DESCRIPTION_OR_STRUCTURED_EXTRACTION</t>
        </is>
      </c>
      <c r="AF67" s="3" t="inlineStr">
        <is>
          <t>SERVER_CHECKED_2026-09-13</t>
        </is>
      </c>
      <c r="AG67" s="3" t="inlineStr"/>
      <c r="AH67" s="3" t="inlineStr"/>
    </row>
    <row r="68" ht="45" customHeight="1">
      <c r="A68" s="3" t="inlineStr">
        <is>
          <t>E1-067</t>
        </is>
      </c>
      <c r="B68" s="3" t="inlineStr">
        <is>
          <t>new</t>
        </is>
      </c>
      <c r="C68" s="3" t="inlineStr"/>
      <c r="D68" s="3" t="inlineStr">
        <is>
          <t>official</t>
        </is>
      </c>
      <c r="E68" s="3" t="inlineStr">
        <is>
          <t>official example</t>
        </is>
      </c>
      <c r="F68" s="3" t="inlineStr">
        <is>
          <t>Google Home example scripted automations — Motion triggered lights</t>
        </is>
      </c>
      <c r="G68" s="5" t="inlineStr">
        <is>
          <t>https://developers.home.google.com/automations/example-scripts</t>
        </is>
      </c>
      <c r="H68" s="3" t="inlineStr">
        <is>
          <t>Section: Motion triggered lights</t>
        </is>
      </c>
      <c r="I68" s="3" t="inlineStr">
        <is>
          <t>2026-09-13</t>
        </is>
      </c>
      <c r="J68" s="3" t="inlineStr">
        <is>
          <t>When motion is detected, turn on the lights, then turn them off after five minutes of stillness.</t>
        </is>
      </c>
      <c r="K68" s="3" t="inlineStr"/>
      <c r="L68" s="3" t="inlineStr">
        <is>
          <t>IN_SCOPE</t>
        </is>
      </c>
      <c r="M68" s="3" t="inlineStr"/>
      <c r="N68" s="3" t="inlineStr"/>
      <c r="O68" s="3" t="inlineStr">
        <is>
          <t>event/state</t>
        </is>
      </c>
      <c r="P68" s="3" t="inlineStr">
        <is>
          <t>delay/order; duration/window</t>
        </is>
      </c>
      <c r="Q68" s="3" t="inlineStr">
        <is>
          <t>sequence/composition; guard/branch</t>
        </is>
      </c>
      <c r="R68" s="3" t="inlineStr">
        <is>
          <t>none/unspecified</t>
        </is>
      </c>
      <c r="S68" s="3" t="inlineStr">
        <is>
          <t>single</t>
        </is>
      </c>
      <c r="T68" s="3" t="inlineStr">
        <is>
          <t>one-shot/unspecified</t>
        </is>
      </c>
      <c r="U68" s="3" t="inlineStr">
        <is>
          <t>R1, R2, R6</t>
        </is>
      </c>
      <c r="V68" s="3" t="inlineStr"/>
      <c r="W68" s="3" t="inlineStr"/>
      <c r="X68" s="3" t="inlineStr">
        <is>
          <t>R1, R2, R6</t>
        </is>
      </c>
      <c r="Y68" s="3" t="inlineStr">
        <is>
          <t>no</t>
        </is>
      </c>
      <c r="Z68" s="3" t="inlineStr">
        <is>
          <t>breadth_only_pending_depth_selection</t>
        </is>
      </c>
      <c r="AA68" s="3" t="inlineStr"/>
      <c r="AB68" s="3" t="inlineStr"/>
      <c r="AC68" s="3" t="inlineStr"/>
      <c r="AD68" s="3" t="inlineStr"/>
      <c r="AE68" s="3" t="inlineStr">
        <is>
          <t>OFFICIAL_DESCRIPTION_OR_STRUCTURED_EXTRACTION</t>
        </is>
      </c>
      <c r="AF68" s="3" t="inlineStr">
        <is>
          <t>SERVER_CHECKED_2026-09-13</t>
        </is>
      </c>
      <c r="AG68" s="3" t="inlineStr"/>
      <c r="AH68" s="3" t="inlineStr">
        <is>
          <t>motion-light</t>
        </is>
      </c>
    </row>
    <row r="69" ht="45" customHeight="1">
      <c r="A69" s="3" t="inlineStr">
        <is>
          <t>E1-068</t>
        </is>
      </c>
      <c r="B69" s="3" t="inlineStr">
        <is>
          <t>new</t>
        </is>
      </c>
      <c r="C69" s="3" t="inlineStr"/>
      <c r="D69" s="3" t="inlineStr">
        <is>
          <t>official</t>
        </is>
      </c>
      <c r="E69" s="3" t="inlineStr">
        <is>
          <t>official example</t>
        </is>
      </c>
      <c r="F69" s="3" t="inlineStr">
        <is>
          <t>Google Home example scripted automations — Motion triggered lights with occupancy sensor</t>
        </is>
      </c>
      <c r="G69" s="5" t="inlineStr">
        <is>
          <t>https://developers.home.google.com/automations/example-scripts</t>
        </is>
      </c>
      <c r="H69" s="3" t="inlineStr">
        <is>
          <t>Section: Motion triggered lights with occupancy sensor</t>
        </is>
      </c>
      <c r="I69" s="3" t="inlineStr">
        <is>
          <t>2026-09-13</t>
        </is>
      </c>
      <c r="J69" s="3" t="inlineStr">
        <is>
          <t>When an occupant is detected, turn on the lights, then turn them off after five minutes.</t>
        </is>
      </c>
      <c r="K69" s="3" t="inlineStr"/>
      <c r="L69" s="3" t="inlineStr">
        <is>
          <t>IN_SCOPE</t>
        </is>
      </c>
      <c r="M69" s="3" t="inlineStr"/>
      <c r="N69" s="3" t="inlineStr"/>
      <c r="O69" s="3" t="inlineStr">
        <is>
          <t>event/state</t>
        </is>
      </c>
      <c r="P69" s="3" t="inlineStr">
        <is>
          <t>delay/order; duration/window</t>
        </is>
      </c>
      <c r="Q69" s="3" t="inlineStr">
        <is>
          <t>sequence/composition; guard/branch</t>
        </is>
      </c>
      <c r="R69" s="3" t="inlineStr">
        <is>
          <t>none/unspecified</t>
        </is>
      </c>
      <c r="S69" s="3" t="inlineStr">
        <is>
          <t>single</t>
        </is>
      </c>
      <c r="T69" s="3" t="inlineStr">
        <is>
          <t>one-shot/unspecified</t>
        </is>
      </c>
      <c r="U69" s="3" t="inlineStr">
        <is>
          <t>R1, R2, R6</t>
        </is>
      </c>
      <c r="V69" s="3" t="inlineStr"/>
      <c r="W69" s="3" t="inlineStr"/>
      <c r="X69" s="3" t="inlineStr">
        <is>
          <t>R1, R2, R6</t>
        </is>
      </c>
      <c r="Y69" s="3" t="inlineStr">
        <is>
          <t>no</t>
        </is>
      </c>
      <c r="Z69" s="3" t="inlineStr">
        <is>
          <t>breadth_only_pending_depth_selection</t>
        </is>
      </c>
      <c r="AA69" s="3" t="inlineStr"/>
      <c r="AB69" s="3" t="inlineStr"/>
      <c r="AC69" s="3" t="inlineStr"/>
      <c r="AD69" s="3" t="inlineStr"/>
      <c r="AE69" s="3" t="inlineStr">
        <is>
          <t>OFFICIAL_DESCRIPTION_OR_STRUCTURED_EXTRACTION</t>
        </is>
      </c>
      <c r="AF69" s="3" t="inlineStr">
        <is>
          <t>SERVER_CHECKED_2026-09-13</t>
        </is>
      </c>
      <c r="AG69" s="3" t="inlineStr"/>
      <c r="AH69" s="3" t="inlineStr">
        <is>
          <t>motion-light</t>
        </is>
      </c>
    </row>
    <row r="70" ht="45" customHeight="1">
      <c r="A70" s="3" t="inlineStr">
        <is>
          <t>E1-069</t>
        </is>
      </c>
      <c r="B70" s="3" t="inlineStr">
        <is>
          <t>new</t>
        </is>
      </c>
      <c r="C70" s="3" t="inlineStr"/>
      <c r="D70" s="3" t="inlineStr">
        <is>
          <t>official</t>
        </is>
      </c>
      <c r="E70" s="3" t="inlineStr">
        <is>
          <t>official example</t>
        </is>
      </c>
      <c r="F70" s="3" t="inlineStr">
        <is>
          <t>Google Home example scripted automations — Turn on cameras when leaving home</t>
        </is>
      </c>
      <c r="G70" s="5" t="inlineStr">
        <is>
          <t>https://developers.home.google.com/automations/example-scripts</t>
        </is>
      </c>
      <c r="H70" s="3" t="inlineStr">
        <is>
          <t>Section: Turn on cameras when leaving home</t>
        </is>
      </c>
      <c r="I70" s="3" t="inlineStr">
        <is>
          <t>2026-09-13</t>
        </is>
      </c>
      <c r="J70" s="3" t="inlineStr">
        <is>
          <t>Once the home is unoccupied, turn on cameras.</t>
        </is>
      </c>
      <c r="K70" s="3" t="inlineStr"/>
      <c r="L70" s="3" t="inlineStr">
        <is>
          <t>IN_SCOPE</t>
        </is>
      </c>
      <c r="M70" s="3" t="inlineStr"/>
      <c r="N70" s="3" t="inlineStr"/>
      <c r="O70" s="3" t="inlineStr">
        <is>
          <t>event/state</t>
        </is>
      </c>
      <c r="P70" s="3" t="inlineStr">
        <is>
          <t>immediate/unspecified</t>
        </is>
      </c>
      <c r="Q70" s="3" t="inlineStr">
        <is>
          <t>straight-line/unspecified</t>
        </is>
      </c>
      <c r="R70" s="3" t="inlineStr">
        <is>
          <t>none/unspecified</t>
        </is>
      </c>
      <c r="S70" s="3" t="inlineStr">
        <is>
          <t>single</t>
        </is>
      </c>
      <c r="T70" s="3" t="inlineStr">
        <is>
          <t>one-shot/unspecified</t>
        </is>
      </c>
      <c r="U70" s="3" t="inlineStr">
        <is>
          <t>R9</t>
        </is>
      </c>
      <c r="V70" s="3" t="inlineStr"/>
      <c r="W70" s="3" t="inlineStr"/>
      <c r="X70" s="3" t="inlineStr">
        <is>
          <t>R1</t>
        </is>
      </c>
      <c r="Y70" s="3" t="inlineStr">
        <is>
          <t>no</t>
        </is>
      </c>
      <c r="Z70" s="3" t="inlineStr">
        <is>
          <t>breadth_only_pending_depth_selection</t>
        </is>
      </c>
      <c r="AA70" s="3" t="inlineStr"/>
      <c r="AB70" s="3" t="inlineStr"/>
      <c r="AC70" s="3" t="inlineStr"/>
      <c r="AD70" s="3" t="inlineStr"/>
      <c r="AE70" s="3" t="inlineStr">
        <is>
          <t>OFFICIAL_DESCRIPTION_OR_STRUCTURED_EXTRACTION</t>
        </is>
      </c>
      <c r="AF70" s="3" t="inlineStr">
        <is>
          <t>SERVER_CHECKED_2026-09-13</t>
        </is>
      </c>
      <c r="AG70" s="3" t="inlineStr"/>
      <c r="AH70" s="3" t="inlineStr"/>
    </row>
    <row r="71" ht="45" customHeight="1">
      <c r="A71" s="3" t="inlineStr">
        <is>
          <t>E1-070</t>
        </is>
      </c>
      <c r="B71" s="3" t="inlineStr">
        <is>
          <t>new</t>
        </is>
      </c>
      <c r="C71" s="3" t="inlineStr"/>
      <c r="D71" s="3" t="inlineStr">
        <is>
          <t>official</t>
        </is>
      </c>
      <c r="E71" s="3" t="inlineStr">
        <is>
          <t>official example</t>
        </is>
      </c>
      <c r="F71" s="3" t="inlineStr">
        <is>
          <t>Google Home example scripted automations — Doorbell light alert</t>
        </is>
      </c>
      <c r="G71" s="5" t="inlineStr">
        <is>
          <t>https://developers.home.google.com/automations/example-scripts</t>
        </is>
      </c>
      <c r="H71" s="3" t="inlineStr">
        <is>
          <t>Section: Doorbell light alert</t>
        </is>
      </c>
      <c r="I71" s="3" t="inlineStr">
        <is>
          <t>2026-09-13</t>
        </is>
      </c>
      <c r="J71" s="3" t="inlineStr">
        <is>
          <t>When someone rings the doorbell, blink the lights in occupied room.</t>
        </is>
      </c>
      <c r="K71" s="3" t="inlineStr"/>
      <c r="L71" s="3" t="inlineStr">
        <is>
          <t>IN_SCOPE</t>
        </is>
      </c>
      <c r="M71" s="3" t="inlineStr"/>
      <c r="N71" s="3" t="inlineStr"/>
      <c r="O71" s="3" t="inlineStr">
        <is>
          <t>event/state</t>
        </is>
      </c>
      <c r="P71" s="3" t="inlineStr">
        <is>
          <t>immediate/unspecified</t>
        </is>
      </c>
      <c r="Q71" s="3" t="inlineStr">
        <is>
          <t>guard/branch</t>
        </is>
      </c>
      <c r="R71" s="3" t="inlineStr">
        <is>
          <t>none/unspecified</t>
        </is>
      </c>
      <c r="S71" s="3" t="inlineStr">
        <is>
          <t>single</t>
        </is>
      </c>
      <c r="T71" s="3" t="inlineStr">
        <is>
          <t>one-shot/unspecified</t>
        </is>
      </c>
      <c r="U71" s="3" t="inlineStr">
        <is>
          <t>R1</t>
        </is>
      </c>
      <c r="V71" s="3" t="inlineStr"/>
      <c r="W71" s="3" t="inlineStr"/>
      <c r="X71" s="3" t="inlineStr">
        <is>
          <t>R1</t>
        </is>
      </c>
      <c r="Y71" s="3" t="inlineStr">
        <is>
          <t>no</t>
        </is>
      </c>
      <c r="Z71" s="3" t="inlineStr">
        <is>
          <t>breadth_only_pending_depth_selection</t>
        </is>
      </c>
      <c r="AA71" s="3" t="inlineStr"/>
      <c r="AB71" s="3" t="inlineStr"/>
      <c r="AC71" s="3" t="inlineStr"/>
      <c r="AD71" s="3" t="inlineStr"/>
      <c r="AE71" s="3" t="inlineStr">
        <is>
          <t>OFFICIAL_DESCRIPTION_OR_STRUCTURED_EXTRACTION</t>
        </is>
      </c>
      <c r="AF71" s="3" t="inlineStr">
        <is>
          <t>SERVER_CHECKED_2026-09-13</t>
        </is>
      </c>
      <c r="AG71" s="3" t="inlineStr"/>
      <c r="AH71" s="3" t="inlineStr"/>
    </row>
    <row r="72" ht="45" customHeight="1">
      <c r="A72" s="3" t="inlineStr">
        <is>
          <t>E1-071</t>
        </is>
      </c>
      <c r="B72" s="3" t="inlineStr">
        <is>
          <t>new</t>
        </is>
      </c>
      <c r="C72" s="3" t="inlineStr"/>
      <c r="D72" s="3" t="inlineStr">
        <is>
          <t>official</t>
        </is>
      </c>
      <c r="E72" s="3" t="inlineStr">
        <is>
          <t>official example</t>
        </is>
      </c>
      <c r="F72" s="3" t="inlineStr">
        <is>
          <t>Google Home example scripted automations — Movie night scene</t>
        </is>
      </c>
      <c r="G72" s="5" t="inlineStr">
        <is>
          <t>https://developers.home.google.com/automations/example-scripts</t>
        </is>
      </c>
      <c r="H72" s="3" t="inlineStr">
        <is>
          <t>Section: Movie night scene</t>
        </is>
      </c>
      <c r="I72" s="3" t="inlineStr">
        <is>
          <t>2026-09-13</t>
        </is>
      </c>
      <c r="J72" s="3" t="inlineStr">
        <is>
          <t>When Assistant hears the utterance "movie night", lower the blinds, turn off the lights, and pause certain noisy appliances.</t>
        </is>
      </c>
      <c r="K72" s="3" t="inlineStr"/>
      <c r="L72" s="3" t="inlineStr">
        <is>
          <t>IN_SCOPE</t>
        </is>
      </c>
      <c r="M72" s="3" t="inlineStr"/>
      <c r="N72" s="3" t="inlineStr"/>
      <c r="O72" s="3" t="inlineStr">
        <is>
          <t>manual</t>
        </is>
      </c>
      <c r="P72" s="3" t="inlineStr">
        <is>
          <t>immediate/unspecified</t>
        </is>
      </c>
      <c r="Q72" s="3" t="inlineStr">
        <is>
          <t>sequence/composition; guard/branch</t>
        </is>
      </c>
      <c r="R72" s="3" t="inlineStr">
        <is>
          <t>none/unspecified</t>
        </is>
      </c>
      <c r="S72" s="3" t="inlineStr">
        <is>
          <t>multiple</t>
        </is>
      </c>
      <c r="T72" s="3" t="inlineStr">
        <is>
          <t>one-shot/unspecified</t>
        </is>
      </c>
      <c r="U72" s="3" t="inlineStr">
        <is>
          <t>R1, R9</t>
        </is>
      </c>
      <c r="V72" s="3" t="inlineStr"/>
      <c r="W72" s="3" t="inlineStr"/>
      <c r="X72" s="3" t="inlineStr">
        <is>
          <t>R1</t>
        </is>
      </c>
      <c r="Y72" s="3" t="inlineStr">
        <is>
          <t>no</t>
        </is>
      </c>
      <c r="Z72" s="3" t="inlineStr">
        <is>
          <t>proposed_depth_addition</t>
        </is>
      </c>
      <c r="AA72" s="3" t="inlineStr">
        <is>
          <t>7</t>
        </is>
      </c>
      <c r="AB72" s="3" t="inlineStr">
        <is>
          <t>Official home/away lighting with distinct arrival and vacancy flows.</t>
        </is>
      </c>
      <c r="AC72" s="3" t="inlineStr"/>
      <c r="AD72" s="3" t="inlineStr"/>
      <c r="AE72" s="3" t="inlineStr">
        <is>
          <t>OFFICIAL_DESCRIPTION_OR_STRUCTURED_EXTRACTION</t>
        </is>
      </c>
      <c r="AF72" s="3" t="inlineStr">
        <is>
          <t>SERVER_CHECKED_2026-09-13</t>
        </is>
      </c>
      <c r="AG72" s="3" t="inlineStr"/>
      <c r="AH72" s="3" t="inlineStr"/>
    </row>
    <row r="73" ht="45" customHeight="1">
      <c r="A73" s="3" t="inlineStr">
        <is>
          <t>E1-072</t>
        </is>
      </c>
      <c r="B73" s="3" t="inlineStr">
        <is>
          <t>new</t>
        </is>
      </c>
      <c r="C73" s="3" t="inlineStr"/>
      <c r="D73" s="3" t="inlineStr">
        <is>
          <t>official</t>
        </is>
      </c>
      <c r="E73" s="3" t="inlineStr">
        <is>
          <t>official example</t>
        </is>
      </c>
      <c r="F73" s="3" t="inlineStr">
        <is>
          <t>Google Home example scripted automations — Home and away lighting</t>
        </is>
      </c>
      <c r="G73" s="5" t="inlineStr">
        <is>
          <t>https://developers.home.google.com/automations/example-scripts</t>
        </is>
      </c>
      <c r="H73" s="3" t="inlineStr">
        <is>
          <t>Section: Home and away lighting</t>
        </is>
      </c>
      <c r="I73" s="3" t="inlineStr">
        <is>
          <t>2026-09-13</t>
        </is>
      </c>
      <c r="J73" s="3" t="inlineStr">
        <is>
          <t>After dark, when someone arrives home, turn on lights, and turn off all lights when the home is unoccupied.</t>
        </is>
      </c>
      <c r="K73" s="3" t="inlineStr"/>
      <c r="L73" s="3" t="inlineStr">
        <is>
          <t>IN_SCOPE</t>
        </is>
      </c>
      <c r="M73" s="3" t="inlineStr"/>
      <c r="N73" s="3" t="inlineStr"/>
      <c r="O73" s="3" t="inlineStr">
        <is>
          <t>event/state; clock/calendar</t>
        </is>
      </c>
      <c r="P73" s="3" t="inlineStr">
        <is>
          <t>immediate/unspecified</t>
        </is>
      </c>
      <c r="Q73" s="3" t="inlineStr">
        <is>
          <t>sequence/composition; guard/branch</t>
        </is>
      </c>
      <c r="R73" s="3" t="inlineStr">
        <is>
          <t>none/unspecified</t>
        </is>
      </c>
      <c r="S73" s="3" t="inlineStr">
        <is>
          <t>multiple</t>
        </is>
      </c>
      <c r="T73" s="3" t="inlineStr">
        <is>
          <t>one-shot/unspecified</t>
        </is>
      </c>
      <c r="U73" s="3" t="inlineStr">
        <is>
          <t>R1, R2</t>
        </is>
      </c>
      <c r="V73" s="3" t="inlineStr"/>
      <c r="W73" s="3" t="inlineStr"/>
      <c r="X73" s="3" t="inlineStr">
        <is>
          <t>R1, R9</t>
        </is>
      </c>
      <c r="Y73" s="3" t="inlineStr">
        <is>
          <t>no</t>
        </is>
      </c>
      <c r="Z73" s="3" t="inlineStr">
        <is>
          <t>breadth_only_pending_depth_selection</t>
        </is>
      </c>
      <c r="AA73" s="3" t="inlineStr"/>
      <c r="AB73" s="3" t="inlineStr"/>
      <c r="AC73" s="3" t="inlineStr"/>
      <c r="AD73" s="3" t="inlineStr"/>
      <c r="AE73" s="3" t="inlineStr">
        <is>
          <t>OFFICIAL_DESCRIPTION_OR_STRUCTURED_EXTRACTION</t>
        </is>
      </c>
      <c r="AF73" s="3" t="inlineStr">
        <is>
          <t>SERVER_CHECKED_2026-09-13</t>
        </is>
      </c>
      <c r="AG73" s="3" t="inlineStr"/>
      <c r="AH73" s="3" t="inlineStr"/>
    </row>
    <row r="74" ht="45" customHeight="1">
      <c r="A74" s="3" t="inlineStr">
        <is>
          <t>E1-073</t>
        </is>
      </c>
      <c r="B74" s="3" t="inlineStr">
        <is>
          <t>new</t>
        </is>
      </c>
      <c r="C74" s="3" t="inlineStr"/>
      <c r="D74" s="3" t="inlineStr">
        <is>
          <t>official</t>
        </is>
      </c>
      <c r="E74" s="3" t="inlineStr">
        <is>
          <t>official example</t>
        </is>
      </c>
      <c r="F74" s="3" t="inlineStr">
        <is>
          <t>Google Home example scripted automations — Send a notification when a package is delivered</t>
        </is>
      </c>
      <c r="G74" s="5" t="inlineStr">
        <is>
          <t>https://developers.home.google.com/automations/example-scripts</t>
        </is>
      </c>
      <c r="H74" s="3" t="inlineStr">
        <is>
          <t>Section: Send a notification when a package is delivered</t>
        </is>
      </c>
      <c r="I74" s="3" t="inlineStr">
        <is>
          <t>2026-09-13</t>
        </is>
      </c>
      <c r="J74" s="3" t="inlineStr">
        <is>
          <t>When a package is delivered, send a notification.</t>
        </is>
      </c>
      <c r="K74" s="3" t="inlineStr"/>
      <c r="L74" s="3" t="inlineStr">
        <is>
          <t>IN_SCOPE</t>
        </is>
      </c>
      <c r="M74" s="3" t="inlineStr"/>
      <c r="N74" s="3" t="inlineStr"/>
      <c r="O74" s="3" t="inlineStr">
        <is>
          <t>event/state</t>
        </is>
      </c>
      <c r="P74" s="3" t="inlineStr">
        <is>
          <t>immediate/unspecified</t>
        </is>
      </c>
      <c r="Q74" s="3" t="inlineStr">
        <is>
          <t>guard/branch</t>
        </is>
      </c>
      <c r="R74" s="3" t="inlineStr">
        <is>
          <t>none/unspecified</t>
        </is>
      </c>
      <c r="S74" s="3" t="inlineStr">
        <is>
          <t>single</t>
        </is>
      </c>
      <c r="T74" s="3" t="inlineStr">
        <is>
          <t>one-shot/unspecified</t>
        </is>
      </c>
      <c r="U74" s="3" t="inlineStr">
        <is>
          <t>R1</t>
        </is>
      </c>
      <c r="V74" s="3" t="inlineStr"/>
      <c r="W74" s="3" t="inlineStr"/>
      <c r="X74" s="3" t="inlineStr">
        <is>
          <t>R1</t>
        </is>
      </c>
      <c r="Y74" s="3" t="inlineStr">
        <is>
          <t>no</t>
        </is>
      </c>
      <c r="Z74" s="3" t="inlineStr">
        <is>
          <t>breadth_only_pending_depth_selection</t>
        </is>
      </c>
      <c r="AA74" s="3" t="inlineStr"/>
      <c r="AB74" s="3" t="inlineStr"/>
      <c r="AC74" s="3" t="inlineStr"/>
      <c r="AD74" s="3" t="inlineStr"/>
      <c r="AE74" s="3" t="inlineStr">
        <is>
          <t>OFFICIAL_DESCRIPTION_OR_STRUCTURED_EXTRACTION</t>
        </is>
      </c>
      <c r="AF74" s="3" t="inlineStr">
        <is>
          <t>SERVER_CHECKED_2026-09-13</t>
        </is>
      </c>
      <c r="AG74" s="3" t="inlineStr"/>
      <c r="AH74" s="3" t="inlineStr"/>
    </row>
    <row r="75" ht="45" customHeight="1">
      <c r="A75" s="3" t="inlineStr">
        <is>
          <t>E1-074</t>
        </is>
      </c>
      <c r="B75" s="3" t="inlineStr">
        <is>
          <t>new</t>
        </is>
      </c>
      <c r="C75" s="3" t="inlineStr"/>
      <c r="D75" s="3" t="inlineStr">
        <is>
          <t>official</t>
        </is>
      </c>
      <c r="E75" s="3" t="inlineStr">
        <is>
          <t>official example</t>
        </is>
      </c>
      <c r="F75" s="3" t="inlineStr">
        <is>
          <t>Google Home example scripted automations — When I walk through my corridor first time (motion sensor) in the morning open all my blinds and suppress the trigger for 20 hours</t>
        </is>
      </c>
      <c r="G75" s="5" t="inlineStr">
        <is>
          <t>https://developers.home.google.com/automations/example-scripts</t>
        </is>
      </c>
      <c r="H75" s="3" t="inlineStr">
        <is>
          <t>Section: When I walk through my corridor first time (motion sensor) in the morning open all my blinds and suppress the trigger for 20 hours</t>
        </is>
      </c>
      <c r="I75" s="3" t="inlineStr">
        <is>
          <t>2026-09-13</t>
        </is>
      </c>
      <c r="J75" s="3" t="inlineStr">
        <is>
          <t>Open blinds in the morning after motion is detected; suppress the trigger for 20 hours.</t>
        </is>
      </c>
      <c r="K75" s="3" t="inlineStr"/>
      <c r="L75" s="3" t="inlineStr">
        <is>
          <t>IN_SCOPE</t>
        </is>
      </c>
      <c r="M75" s="3" t="inlineStr"/>
      <c r="N75" s="3" t="inlineStr"/>
      <c r="O75" s="3" t="inlineStr">
        <is>
          <t>event/state; clock/calendar</t>
        </is>
      </c>
      <c r="P75" s="3" t="inlineStr">
        <is>
          <t>delay/order; duration/window</t>
        </is>
      </c>
      <c r="Q75" s="3" t="inlineStr">
        <is>
          <t>straight-line/unspecified</t>
        </is>
      </c>
      <c r="R75" s="3" t="inlineStr">
        <is>
          <t>timestamp/prior-state</t>
        </is>
      </c>
      <c r="S75" s="3" t="inlineStr">
        <is>
          <t>single</t>
        </is>
      </c>
      <c r="T75" s="3" t="inlineStr">
        <is>
          <t>one-shot/unspecified</t>
        </is>
      </c>
      <c r="U75" s="3" t="inlineStr">
        <is>
          <t>R1, R2, R9</t>
        </is>
      </c>
      <c r="V75" s="3" t="inlineStr"/>
      <c r="W75" s="3" t="inlineStr"/>
      <c r="X75" s="3" t="inlineStr">
        <is>
          <t>R1, R2, R9</t>
        </is>
      </c>
      <c r="Y75" s="3" t="inlineStr">
        <is>
          <t>no</t>
        </is>
      </c>
      <c r="Z75" s="3" t="inlineStr">
        <is>
          <t>breadth_only_pending_depth_selection</t>
        </is>
      </c>
      <c r="AA75" s="3" t="inlineStr"/>
      <c r="AB75" s="3" t="inlineStr"/>
      <c r="AC75" s="3" t="inlineStr"/>
      <c r="AD75" s="3" t="inlineStr"/>
      <c r="AE75" s="3" t="inlineStr">
        <is>
          <t>OFFICIAL_DESCRIPTION_OR_STRUCTURED_EXTRACTION</t>
        </is>
      </c>
      <c r="AF75" s="3" t="inlineStr">
        <is>
          <t>SERVER_CHECKED_2026-09-13; CORRECTED</t>
        </is>
      </c>
      <c r="AG75" s="3" t="inlineStr"/>
      <c r="AH75" s="3" t="inlineStr"/>
    </row>
    <row r="76" ht="45" customHeight="1">
      <c r="A76" s="3" t="inlineStr">
        <is>
          <t>E1-075</t>
        </is>
      </c>
      <c r="B76" s="3" t="inlineStr">
        <is>
          <t>new</t>
        </is>
      </c>
      <c r="C76" s="3" t="inlineStr"/>
      <c r="D76" s="3" t="inlineStr">
        <is>
          <t>official</t>
        </is>
      </c>
      <c r="E76" s="3" t="inlineStr">
        <is>
          <t>official example</t>
        </is>
      </c>
      <c r="F76" s="3" t="inlineStr">
        <is>
          <t>Google Home example scripted automations — Send a notification when movement is detected at home on a weekday</t>
        </is>
      </c>
      <c r="G76" s="5" t="inlineStr">
        <is>
          <t>https://developers.home.google.com/automations/example-scripts</t>
        </is>
      </c>
      <c r="H76" s="3" t="inlineStr">
        <is>
          <t>Section: Send a notification when movement is detected at home on a weekday</t>
        </is>
      </c>
      <c r="I76" s="3" t="inlineStr">
        <is>
          <t>2026-09-13</t>
        </is>
      </c>
      <c r="J76" s="3" t="inlineStr">
        <is>
          <t>Send a notification when movement is detected at home on a weekday between 09:00 and 18:00.</t>
        </is>
      </c>
      <c r="K76" s="3" t="inlineStr"/>
      <c r="L76" s="3" t="inlineStr">
        <is>
          <t>IN_SCOPE</t>
        </is>
      </c>
      <c r="M76" s="3" t="inlineStr"/>
      <c r="N76" s="3" t="inlineStr"/>
      <c r="O76" s="3" t="inlineStr">
        <is>
          <t>event/state; clock/calendar</t>
        </is>
      </c>
      <c r="P76" s="3" t="inlineStr">
        <is>
          <t>immediate/unspecified</t>
        </is>
      </c>
      <c r="Q76" s="3" t="inlineStr">
        <is>
          <t>sequence/composition; guard/branch</t>
        </is>
      </c>
      <c r="R76" s="3" t="inlineStr">
        <is>
          <t>none/unspecified</t>
        </is>
      </c>
      <c r="S76" s="3" t="inlineStr">
        <is>
          <t>multiple</t>
        </is>
      </c>
      <c r="T76" s="3" t="inlineStr">
        <is>
          <t>one-shot/unspecified</t>
        </is>
      </c>
      <c r="U76" s="3" t="inlineStr">
        <is>
          <t>R1, R9</t>
        </is>
      </c>
      <c r="V76" s="3" t="inlineStr"/>
      <c r="W76" s="3" t="inlineStr"/>
      <c r="X76" s="3" t="inlineStr">
        <is>
          <t>R1, R9</t>
        </is>
      </c>
      <c r="Y76" s="3" t="inlineStr">
        <is>
          <t>no</t>
        </is>
      </c>
      <c r="Z76" s="3" t="inlineStr">
        <is>
          <t>breadth_only_pending_depth_selection</t>
        </is>
      </c>
      <c r="AA76" s="3" t="inlineStr"/>
      <c r="AB76" s="3" t="inlineStr"/>
      <c r="AC76" s="3" t="inlineStr"/>
      <c r="AD76" s="3" t="inlineStr"/>
      <c r="AE76" s="3" t="inlineStr">
        <is>
          <t>OFFICIAL_DESCRIPTION_OR_STRUCTURED_EXTRACTION</t>
        </is>
      </c>
      <c r="AF76" s="3" t="inlineStr">
        <is>
          <t>SERVER_CHECKED_2026-09-13; CORRECTED</t>
        </is>
      </c>
      <c r="AG76" s="3" t="inlineStr"/>
      <c r="AH76" s="3" t="inlineStr"/>
    </row>
    <row r="77" ht="45" customHeight="1">
      <c r="A77" s="3" t="inlineStr">
        <is>
          <t>E1-076</t>
        </is>
      </c>
      <c r="B77" s="3" t="inlineStr">
        <is>
          <t>new</t>
        </is>
      </c>
      <c r="C77" s="3" t="inlineStr"/>
      <c r="D77" s="3" t="inlineStr">
        <is>
          <t>official</t>
        </is>
      </c>
      <c r="E77" s="3" t="inlineStr">
        <is>
          <t>official example</t>
        </is>
      </c>
      <c r="F77" s="3" t="inlineStr">
        <is>
          <t>Home Assistant core — Zone Notification blueprint</t>
        </is>
      </c>
      <c r="G77" s="5" t="inlineStr">
        <is>
          <t>https://github.com/home-assistant/core/blob/dev/homeassistant/components/automation/blueprints/notify_leaving_zone.yaml</t>
        </is>
      </c>
      <c r="H77" s="3" t="inlineStr">
        <is>
          <t>blueprint.description</t>
        </is>
      </c>
      <c r="I77" s="3" t="inlineStr">
        <is>
          <t>2026-09-13</t>
        </is>
      </c>
      <c r="J77" s="3" t="inlineStr">
        <is>
          <t>Send a notification to a device when a person leaves a specific zone.</t>
        </is>
      </c>
      <c r="K77" s="3" t="inlineStr"/>
      <c r="L77" s="3" t="inlineStr">
        <is>
          <t>IN_SCOPE</t>
        </is>
      </c>
      <c r="M77" s="3" t="inlineStr"/>
      <c r="N77" s="3" t="inlineStr"/>
      <c r="O77" s="3" t="inlineStr">
        <is>
          <t>event/state</t>
        </is>
      </c>
      <c r="P77" s="3" t="inlineStr">
        <is>
          <t>immediate/unspecified</t>
        </is>
      </c>
      <c r="Q77" s="3" t="inlineStr">
        <is>
          <t>guard/branch</t>
        </is>
      </c>
      <c r="R77" s="3" t="inlineStr">
        <is>
          <t>none/unspecified</t>
        </is>
      </c>
      <c r="S77" s="3" t="inlineStr">
        <is>
          <t>multiple</t>
        </is>
      </c>
      <c r="T77" s="3" t="inlineStr">
        <is>
          <t>one-shot/unspecified</t>
        </is>
      </c>
      <c r="U77" s="3" t="inlineStr">
        <is>
          <t>R1</t>
        </is>
      </c>
      <c r="V77" s="3" t="inlineStr"/>
      <c r="W77" s="3" t="inlineStr"/>
      <c r="X77" s="3" t="inlineStr">
        <is>
          <t>R1</t>
        </is>
      </c>
      <c r="Y77" s="3" t="inlineStr">
        <is>
          <t>no</t>
        </is>
      </c>
      <c r="Z77" s="3" t="inlineStr">
        <is>
          <t>breadth_only_pending_depth_selection</t>
        </is>
      </c>
      <c r="AA77" s="3" t="inlineStr"/>
      <c r="AB77" s="3" t="inlineStr"/>
      <c r="AC77" s="3" t="inlineStr"/>
      <c r="AD77" s="3" t="inlineStr"/>
      <c r="AE77" s="3" t="inlineStr">
        <is>
          <t>OFFICIAL_DESCRIPTION_OR_STRUCTURED_EXTRACTION</t>
        </is>
      </c>
      <c r="AF77" s="3" t="inlineStr">
        <is>
          <t>SERVER_CHECKED_2026-09-13</t>
        </is>
      </c>
      <c r="AG77" s="3" t="inlineStr"/>
      <c r="AH77" s="3" t="inlineStr"/>
    </row>
    <row r="78" ht="45" customHeight="1">
      <c r="A78" s="3" t="inlineStr">
        <is>
          <t>E1-077</t>
        </is>
      </c>
      <c r="B78" s="3" t="inlineStr">
        <is>
          <t>new</t>
        </is>
      </c>
      <c r="C78" s="3" t="inlineStr"/>
      <c r="D78" s="3" t="inlineStr">
        <is>
          <t>official</t>
        </is>
      </c>
      <c r="E78" s="3" t="inlineStr">
        <is>
          <t>official example</t>
        </is>
      </c>
      <c r="F78" s="3" t="inlineStr">
        <is>
          <t>Home Assistant automation trigger documentation — Exterior Lighting</t>
        </is>
      </c>
      <c r="G78" s="5" t="inlineStr">
        <is>
          <t>https://www.home-assistant.io/docs/automation/trigger/</t>
        </is>
      </c>
      <c r="H78" s="3" t="inlineStr">
        <is>
          <t>Sun elevation trigger example</t>
        </is>
      </c>
      <c r="I78" s="3" t="inlineStr">
        <is>
          <t>2026-09-13</t>
        </is>
      </c>
      <c r="J78" s="3" t="inlineStr">
        <is>
          <t>Turn on exterior lighting when the sun elevation falls below -4.0 degrees.</t>
        </is>
      </c>
      <c r="K78" s="3" t="inlineStr"/>
      <c r="L78" s="3" t="inlineStr">
        <is>
          <t>IN_SCOPE</t>
        </is>
      </c>
      <c r="M78" s="3" t="inlineStr"/>
      <c r="N78" s="3" t="inlineStr"/>
      <c r="O78" s="3" t="inlineStr">
        <is>
          <t>event/state</t>
        </is>
      </c>
      <c r="P78" s="3" t="inlineStr">
        <is>
          <t>immediate/unspecified</t>
        </is>
      </c>
      <c r="Q78" s="3" t="inlineStr">
        <is>
          <t>guard/branch</t>
        </is>
      </c>
      <c r="R78" s="3" t="inlineStr">
        <is>
          <t>none/unspecified</t>
        </is>
      </c>
      <c r="S78" s="3" t="inlineStr">
        <is>
          <t>single</t>
        </is>
      </c>
      <c r="T78" s="3" t="inlineStr">
        <is>
          <t>one-shot/unspecified</t>
        </is>
      </c>
      <c r="U78" s="3" t="inlineStr">
        <is>
          <t>R1</t>
        </is>
      </c>
      <c r="V78" s="3" t="inlineStr"/>
      <c r="W78" s="3" t="inlineStr"/>
      <c r="X78" s="3" t="inlineStr">
        <is>
          <t>R1</t>
        </is>
      </c>
      <c r="Y78" s="3" t="inlineStr">
        <is>
          <t>no</t>
        </is>
      </c>
      <c r="Z78" s="3" t="inlineStr">
        <is>
          <t>breadth_only_pending_depth_selection</t>
        </is>
      </c>
      <c r="AA78" s="3" t="inlineStr"/>
      <c r="AB78" s="3" t="inlineStr"/>
      <c r="AC78" s="3" t="inlineStr"/>
      <c r="AD78" s="3" t="inlineStr"/>
      <c r="AE78" s="3" t="inlineStr">
        <is>
          <t>OFFICIAL_DESCRIPTION_OR_STRUCTURED_EXTRACTION</t>
        </is>
      </c>
      <c r="AF78" s="3" t="inlineStr">
        <is>
          <t>SERVER_CHECKED_2026-09-13</t>
        </is>
      </c>
      <c r="AG78" s="3" t="inlineStr"/>
      <c r="AH78" s="3" t="inlineStr"/>
    </row>
    <row r="79" ht="45" customHeight="1">
      <c r="A79" s="3" t="inlineStr">
        <is>
          <t>E1-078</t>
        </is>
      </c>
      <c r="B79" s="3" t="inlineStr">
        <is>
          <t>new</t>
        </is>
      </c>
      <c r="C79" s="3" t="inlineStr"/>
      <c r="D79" s="3" t="inlineStr">
        <is>
          <t>community</t>
        </is>
      </c>
      <c r="E79" s="3" t="inlineStr">
        <is>
          <t>user-authored naturalistic</t>
        </is>
      </c>
      <c r="F79" s="3" t="inlineStr">
        <is>
          <t>Home Assistant Community thread 995590: Combination of motion and illuminance sensor to control light bulb</t>
        </is>
      </c>
      <c r="G79" s="5" t="inlineStr">
        <is>
          <t>https://community.home-assistant.io/t/combination-of-motion-and-illuminance-sensor-to-control-light-bulb/995590</t>
        </is>
      </c>
      <c r="H79" s="3" t="inlineStr">
        <is>
          <t>opening post (created 2026-03-14 UTC)</t>
        </is>
      </c>
      <c r="I79" s="3" t="inlineStr">
        <is>
          <t>2026-09-13</t>
        </is>
      </c>
      <c r="J79" s="3" t="inlineStr">
        <is>
          <t>Turn light ON when motion detected, turn off in 5 min; turn light ON when Lux drops below X lux, turn off in 5 min; should not turn ON light when light OFF by HA.</t>
        </is>
      </c>
      <c r="K79" s="3" t="inlineStr"/>
      <c r="L79" s="3" t="inlineStr">
        <is>
          <t>IN_SCOPE</t>
        </is>
      </c>
      <c r="M79" s="3" t="inlineStr"/>
      <c r="N79" s="3" t="inlineStr"/>
      <c r="O79" s="3" t="inlineStr">
        <is>
          <t>event/state</t>
        </is>
      </c>
      <c r="P79" s="3" t="inlineStr">
        <is>
          <t>immediate/unspecified</t>
        </is>
      </c>
      <c r="Q79" s="3" t="inlineStr">
        <is>
          <t>guard/branch</t>
        </is>
      </c>
      <c r="R79" s="3" t="inlineStr">
        <is>
          <t>none/unspecified</t>
        </is>
      </c>
      <c r="S79" s="3" t="inlineStr">
        <is>
          <t>single</t>
        </is>
      </c>
      <c r="T79" s="3" t="inlineStr">
        <is>
          <t>one-shot/unspecified</t>
        </is>
      </c>
      <c r="U79" s="3" t="inlineStr">
        <is>
          <t>R1</t>
        </is>
      </c>
      <c r="V79" s="3" t="inlineStr"/>
      <c r="W79" s="3" t="inlineStr"/>
      <c r="X79" s="3" t="inlineStr">
        <is>
          <t>R1</t>
        </is>
      </c>
      <c r="Y79" s="3" t="inlineStr">
        <is>
          <t>no</t>
        </is>
      </c>
      <c r="Z79" s="3" t="inlineStr">
        <is>
          <t>breadth_only_pending_depth_selection</t>
        </is>
      </c>
      <c r="AA79" s="3" t="inlineStr"/>
      <c r="AB79" s="3" t="inlineStr"/>
      <c r="AC79" s="3" t="inlineStr"/>
      <c r="AD79" s="3" t="inlineStr"/>
      <c r="AE79" s="3" t="inlineStr">
        <is>
          <t>RESEARCHER_NORMALIZATION_OF_STATED_BEHAVIOR</t>
        </is>
      </c>
      <c r="AF79" s="3" t="inlineStr">
        <is>
          <t>SERVER_CHECKED_2026-09-13; CORRECTED</t>
        </is>
      </c>
      <c r="AG79" s="3" t="inlineStr"/>
      <c r="AH79" s="3" t="inlineStr"/>
    </row>
    <row r="80" ht="45" customHeight="1">
      <c r="A80" s="3" t="inlineStr">
        <is>
          <t>E1-079</t>
        </is>
      </c>
      <c r="B80" s="3" t="inlineStr">
        <is>
          <t>new</t>
        </is>
      </c>
      <c r="C80" s="3" t="inlineStr"/>
      <c r="D80" s="3" t="inlineStr">
        <is>
          <t>community</t>
        </is>
      </c>
      <c r="E80" s="3" t="inlineStr">
        <is>
          <t>user-authored naturalistic</t>
        </is>
      </c>
      <c r="F80" s="3" t="inlineStr">
        <is>
          <t>Home Assistant Community thread 864628: Trigger automation every minute, unless it has been triggered by something else</t>
        </is>
      </c>
      <c r="G80" s="5" t="inlineStr">
        <is>
          <t>https://community.home-assistant.io/t/trigger-automation-every-minute-unless-it-has-been-triggered-by-something-else/864628</t>
        </is>
      </c>
      <c r="H80" s="3" t="inlineStr">
        <is>
          <t>opening post (created 2025-03-16 UTC)</t>
        </is>
      </c>
      <c r="I80" s="3" t="inlineStr">
        <is>
          <t>2026-09-13</t>
        </is>
      </c>
      <c r="J80" s="3" t="inlineStr">
        <is>
          <t>If there are no new sensor values, trigger the automation once every minute; normal sensor values arrive every 10 seconds.</t>
        </is>
      </c>
      <c r="K80" s="3" t="inlineStr"/>
      <c r="L80" s="3" t="inlineStr">
        <is>
          <t>IN_SCOPE</t>
        </is>
      </c>
      <c r="M80" s="3" t="inlineStr"/>
      <c r="N80" s="3" t="inlineStr"/>
      <c r="O80" s="3" t="inlineStr">
        <is>
          <t>event/state</t>
        </is>
      </c>
      <c r="P80" s="3" t="inlineStr">
        <is>
          <t>duration/window; periodic/count</t>
        </is>
      </c>
      <c r="Q80" s="3" t="inlineStr">
        <is>
          <t>guard/branch; repeat</t>
        </is>
      </c>
      <c r="R80" s="3" t="inlineStr">
        <is>
          <t>none/unspecified</t>
        </is>
      </c>
      <c r="S80" s="3" t="inlineStr">
        <is>
          <t>single</t>
        </is>
      </c>
      <c r="T80" s="3" t="inlineStr">
        <is>
          <t>recurring</t>
        </is>
      </c>
      <c r="U80" s="3" t="inlineStr">
        <is>
          <t>R1, R5, R7</t>
        </is>
      </c>
      <c r="V80" s="3" t="inlineStr"/>
      <c r="W80" s="3" t="inlineStr"/>
      <c r="X80" s="3" t="inlineStr">
        <is>
          <t>R1, R5, R7</t>
        </is>
      </c>
      <c r="Y80" s="3" t="inlineStr">
        <is>
          <t>no</t>
        </is>
      </c>
      <c r="Z80" s="3" t="inlineStr">
        <is>
          <t>breadth_only_pending_depth_selection</t>
        </is>
      </c>
      <c r="AA80" s="3" t="inlineStr"/>
      <c r="AB80" s="3" t="inlineStr"/>
      <c r="AC80" s="3" t="inlineStr"/>
      <c r="AD80" s="3" t="inlineStr"/>
      <c r="AE80" s="3" t="inlineStr">
        <is>
          <t>RESEARCHER_NORMALIZATION_OF_STATED_BEHAVIOR</t>
        </is>
      </c>
      <c r="AF80" s="3" t="inlineStr">
        <is>
          <t>SERVER_CHECKED_2026-09-13; CORRECTED</t>
        </is>
      </c>
      <c r="AG80" s="3" t="inlineStr"/>
      <c r="AH80" s="3" t="inlineStr"/>
    </row>
    <row r="81" ht="45" customHeight="1">
      <c r="A81" s="3" t="inlineStr">
        <is>
          <t>E1-080</t>
        </is>
      </c>
      <c r="B81" s="3" t="inlineStr">
        <is>
          <t>new</t>
        </is>
      </c>
      <c r="C81" s="3" t="inlineStr"/>
      <c r="D81" s="3" t="inlineStr">
        <is>
          <t>community</t>
        </is>
      </c>
      <c r="E81" s="3" t="inlineStr">
        <is>
          <t>user-authored naturalistic</t>
        </is>
      </c>
      <c r="F81" s="3" t="inlineStr">
        <is>
          <t>Home Assistant Community thread 408113: Automation - Arm Alarm when everyone is away?</t>
        </is>
      </c>
      <c r="G81" s="5" t="inlineStr">
        <is>
          <t>https://community.home-assistant.io/t/automation-arm-alarm-when-everyone-is-away/408113</t>
        </is>
      </c>
      <c r="H81" s="3" t="inlineStr">
        <is>
          <t>opening post (created 2022-04-03 UTC)</t>
        </is>
      </c>
      <c r="I81" s="3" t="inlineStr">
        <is>
          <t>2026-09-13</t>
        </is>
      </c>
      <c r="J81" s="3" t="inlineStr">
        <is>
          <t>Arm an alarm to away when all people are away.</t>
        </is>
      </c>
      <c r="K81" s="3" t="inlineStr"/>
      <c r="L81" s="3" t="inlineStr">
        <is>
          <t>IN_SCOPE</t>
        </is>
      </c>
      <c r="M81" s="3" t="inlineStr"/>
      <c r="N81" s="3" t="inlineStr"/>
      <c r="O81" s="3" t="inlineStr">
        <is>
          <t>event/state</t>
        </is>
      </c>
      <c r="P81" s="3" t="inlineStr">
        <is>
          <t>immediate/unspecified</t>
        </is>
      </c>
      <c r="Q81" s="3" t="inlineStr">
        <is>
          <t>guard/branch</t>
        </is>
      </c>
      <c r="R81" s="3" t="inlineStr">
        <is>
          <t>none/unspecified</t>
        </is>
      </c>
      <c r="S81" s="3" t="inlineStr">
        <is>
          <t>single</t>
        </is>
      </c>
      <c r="T81" s="3" t="inlineStr">
        <is>
          <t>one-shot/unspecified</t>
        </is>
      </c>
      <c r="U81" s="3" t="inlineStr">
        <is>
          <t>R1</t>
        </is>
      </c>
      <c r="V81" s="3" t="inlineStr"/>
      <c r="W81" s="3" t="inlineStr"/>
      <c r="X81" s="3" t="inlineStr">
        <is>
          <t>R1</t>
        </is>
      </c>
      <c r="Y81" s="3" t="inlineStr">
        <is>
          <t>no</t>
        </is>
      </c>
      <c r="Z81" s="3" t="inlineStr">
        <is>
          <t>breadth_only_pending_depth_selection</t>
        </is>
      </c>
      <c r="AA81" s="3" t="inlineStr"/>
      <c r="AB81" s="3" t="inlineStr"/>
      <c r="AC81" s="3" t="inlineStr"/>
      <c r="AD81" s="3" t="inlineStr"/>
      <c r="AE81" s="3" t="inlineStr">
        <is>
          <t>RESEARCHER_NORMALIZATION_OF_STATED_BEHAVIOR</t>
        </is>
      </c>
      <c r="AF81" s="3" t="inlineStr">
        <is>
          <t>SERVER_CHECKED_2026-09-13; CORRECTED</t>
        </is>
      </c>
      <c r="AG81" s="3" t="inlineStr"/>
      <c r="AH81" s="3" t="inlineStr"/>
    </row>
    <row r="82" ht="45" customHeight="1">
      <c r="A82" s="3" t="inlineStr">
        <is>
          <t>E1-081</t>
        </is>
      </c>
      <c r="B82" s="3" t="inlineStr">
        <is>
          <t>new</t>
        </is>
      </c>
      <c r="C82" s="3" t="inlineStr"/>
      <c r="D82" s="3" t="inlineStr">
        <is>
          <t>community</t>
        </is>
      </c>
      <c r="E82" s="3" t="inlineStr">
        <is>
          <t>user-authored naturalistic</t>
        </is>
      </c>
      <c r="F82" s="3" t="inlineStr">
        <is>
          <t>Home Assistant Community thread 721406: How to reliably design making an announcement every 5 mins until a binary sensor is OFF</t>
        </is>
      </c>
      <c r="G82" s="5" t="inlineStr">
        <is>
          <t>https://community.home-assistant.io/t/how-to-reliably-design-making-an-announcement-every-5-mins-until-a-binary-sensor-is-off/721406</t>
        </is>
      </c>
      <c r="H82" s="3" t="inlineStr">
        <is>
          <t>opening post (created 2024-04-24 UTC)</t>
        </is>
      </c>
      <c r="I82" s="3" t="inlineStr">
        <is>
          <t>2026-09-13</t>
        </is>
      </c>
      <c r="J82" s="3" t="inlineStr">
        <is>
          <t>Keep nagging me every 5 minutes, up to 3 times, as long as the presence binary sensor remains TRUE.</t>
        </is>
      </c>
      <c r="K82" s="3" t="inlineStr"/>
      <c r="L82" s="3" t="inlineStr">
        <is>
          <t>IN_SCOPE</t>
        </is>
      </c>
      <c r="M82" s="3" t="inlineStr"/>
      <c r="N82" s="3" t="inlineStr"/>
      <c r="O82" s="3" t="inlineStr">
        <is>
          <t>unspecified</t>
        </is>
      </c>
      <c r="P82" s="3" t="inlineStr">
        <is>
          <t>duration/window; periodic/count</t>
        </is>
      </c>
      <c r="Q82" s="3" t="inlineStr">
        <is>
          <t>repeat</t>
        </is>
      </c>
      <c r="R82" s="3" t="inlineStr">
        <is>
          <t>count/aggregate</t>
        </is>
      </c>
      <c r="S82" s="3" t="inlineStr">
        <is>
          <t>single</t>
        </is>
      </c>
      <c r="T82" s="3" t="inlineStr">
        <is>
          <t>recurring</t>
        </is>
      </c>
      <c r="U82" s="3" t="inlineStr">
        <is>
          <t>R3, R7, R8</t>
        </is>
      </c>
      <c r="V82" s="3" t="inlineStr"/>
      <c r="W82" s="3" t="inlineStr"/>
      <c r="X82" s="3" t="inlineStr">
        <is>
          <t>R3, R7, R8</t>
        </is>
      </c>
      <c r="Y82" s="3" t="inlineStr">
        <is>
          <t>no</t>
        </is>
      </c>
      <c r="Z82" s="3" t="inlineStr">
        <is>
          <t>breadth_only_pending_depth_selection</t>
        </is>
      </c>
      <c r="AA82" s="3" t="inlineStr"/>
      <c r="AB82" s="3" t="inlineStr"/>
      <c r="AC82" s="3" t="inlineStr"/>
      <c r="AD82" s="3" t="inlineStr"/>
      <c r="AE82" s="3" t="inlineStr">
        <is>
          <t>RESEARCHER_NORMALIZATION_OF_STATED_BEHAVIOR</t>
        </is>
      </c>
      <c r="AF82" s="3" t="inlineStr">
        <is>
          <t>SERVER_CHECKED_2026-09-13; CORRECTED</t>
        </is>
      </c>
      <c r="AG82" s="3" t="inlineStr"/>
      <c r="AH82" s="3" t="inlineStr"/>
    </row>
    <row r="83" ht="45" customHeight="1">
      <c r="A83" s="3" t="inlineStr">
        <is>
          <t>E1-082</t>
        </is>
      </c>
      <c r="B83" s="3" t="inlineStr">
        <is>
          <t>new</t>
        </is>
      </c>
      <c r="C83" s="3" t="inlineStr"/>
      <c r="D83" s="3" t="inlineStr">
        <is>
          <t>community</t>
        </is>
      </c>
      <c r="E83" s="3" t="inlineStr">
        <is>
          <t>user-authored naturalistic</t>
        </is>
      </c>
      <c r="F83" s="3" t="inlineStr">
        <is>
          <t>Home Assistant Community thread 600389: Help with Door Close Automation</t>
        </is>
      </c>
      <c r="G83" s="5" t="inlineStr">
        <is>
          <t>https://community.home-assistant.io/t/help-with-door-close-automation/600389</t>
        </is>
      </c>
      <c r="H83" s="3" t="inlineStr">
        <is>
          <t>opening post (created 2023-08-07 UTC)</t>
        </is>
      </c>
      <c r="I83" s="3" t="inlineStr">
        <is>
          <t>2026-09-13</t>
        </is>
      </c>
      <c r="J83" s="3" t="inlineStr">
        <is>
          <t>Get a notification if a door that was open for more than 5 minutes was closed.</t>
        </is>
      </c>
      <c r="K83" s="3" t="inlineStr"/>
      <c r="L83" s="3" t="inlineStr">
        <is>
          <t>IN_SCOPE</t>
        </is>
      </c>
      <c r="M83" s="3" t="inlineStr"/>
      <c r="N83" s="3" t="inlineStr"/>
      <c r="O83" s="3" t="inlineStr">
        <is>
          <t>event/state</t>
        </is>
      </c>
      <c r="P83" s="3" t="inlineStr">
        <is>
          <t>duration/window</t>
        </is>
      </c>
      <c r="Q83" s="3" t="inlineStr">
        <is>
          <t>guard/branch</t>
        </is>
      </c>
      <c r="R83" s="3" t="inlineStr">
        <is>
          <t>timestamp/prior-state</t>
        </is>
      </c>
      <c r="S83" s="3" t="inlineStr">
        <is>
          <t>single</t>
        </is>
      </c>
      <c r="T83" s="3" t="inlineStr">
        <is>
          <t>one-shot/unspecified</t>
        </is>
      </c>
      <c r="U83" s="3" t="inlineStr">
        <is>
          <t>R1, R3</t>
        </is>
      </c>
      <c r="V83" s="3" t="inlineStr"/>
      <c r="W83" s="3" t="inlineStr"/>
      <c r="X83" s="3" t="inlineStr">
        <is>
          <t>R1, R3</t>
        </is>
      </c>
      <c r="Y83" s="3" t="inlineStr">
        <is>
          <t>no</t>
        </is>
      </c>
      <c r="Z83" s="3" t="inlineStr">
        <is>
          <t>breadth_only_pending_depth_selection</t>
        </is>
      </c>
      <c r="AA83" s="3" t="inlineStr"/>
      <c r="AB83" s="3" t="inlineStr"/>
      <c r="AC83" s="3" t="inlineStr"/>
      <c r="AD83" s="3" t="inlineStr"/>
      <c r="AE83" s="3" t="inlineStr">
        <is>
          <t>RESEARCHER_NORMALIZATION_OF_STATED_BEHAVIOR</t>
        </is>
      </c>
      <c r="AF83" s="3" t="inlineStr">
        <is>
          <t>SERVER_CHECKED_2026-09-13; CORRECTED</t>
        </is>
      </c>
      <c r="AG83" s="3" t="inlineStr"/>
      <c r="AH83" s="3" t="inlineStr"/>
    </row>
    <row r="84" ht="45" customHeight="1">
      <c r="A84" s="3" t="inlineStr">
        <is>
          <t>E1-083</t>
        </is>
      </c>
      <c r="B84" s="3" t="inlineStr">
        <is>
          <t>new</t>
        </is>
      </c>
      <c r="C84" s="3" t="inlineStr"/>
      <c r="D84" s="3" t="inlineStr">
        <is>
          <t>community</t>
        </is>
      </c>
      <c r="E84" s="3" t="inlineStr">
        <is>
          <t>user-authored naturalistic</t>
        </is>
      </c>
      <c r="F84" s="3" t="inlineStr">
        <is>
          <t>Home Assistant Community thread 958200: Delayed entity, AKA "turn this on for X minutes"</t>
        </is>
      </c>
      <c r="G84" s="5" t="inlineStr">
        <is>
          <t>https://community.home-assistant.io/t/delayed-entity-aka-turn-this-on-for-x-minutes/958200</t>
        </is>
      </c>
      <c r="H84" s="3" t="inlineStr">
        <is>
          <t>opening post (created 2025-12-03 UTC)</t>
        </is>
      </c>
      <c r="I84" s="3" t="inlineStr">
        <is>
          <t>2026-09-13</t>
        </is>
      </c>
      <c r="J84" s="3" t="inlineStr">
        <is>
          <t>Turn off automatic door locking for a few hours and then resume normally; temporarily suspend the heat-pump algorithm and resume in a couple of hours.</t>
        </is>
      </c>
      <c r="K84" s="3" t="inlineStr"/>
      <c r="L84" s="3" t="inlineStr">
        <is>
          <t>AMBIGUOUS</t>
        </is>
      </c>
      <c r="M84" s="3" t="inlineStr">
        <is>
          <t>The source leaves a behavior-defining choice unresolved.</t>
        </is>
      </c>
      <c r="N84" s="3" t="inlineStr"/>
      <c r="O84" s="3" t="inlineStr">
        <is>
          <t>unspecified</t>
        </is>
      </c>
      <c r="P84" s="3" t="inlineStr">
        <is>
          <t>duration/window</t>
        </is>
      </c>
      <c r="Q84" s="3" t="inlineStr">
        <is>
          <t>sequence/composition</t>
        </is>
      </c>
      <c r="R84" s="3" t="inlineStr">
        <is>
          <t>timestamp/prior-state; count/aggregate</t>
        </is>
      </c>
      <c r="S84" s="3" t="inlineStr">
        <is>
          <t>multiple</t>
        </is>
      </c>
      <c r="T84" s="3" t="inlineStr">
        <is>
          <t>one-shot/unspecified</t>
        </is>
      </c>
      <c r="U84" s="3" t="inlineStr">
        <is>
          <t>R6</t>
        </is>
      </c>
      <c r="V84" s="3" t="inlineStr"/>
      <c r="W84" s="3" t="inlineStr"/>
      <c r="X84" s="3" t="inlineStr">
        <is>
          <t>N/A</t>
        </is>
      </c>
      <c r="Y84" s="3" t="inlineStr">
        <is>
          <t>no</t>
        </is>
      </c>
      <c r="Z84" s="3" t="inlineStr">
        <is>
          <t>breadth_only_pending_depth_selection</t>
        </is>
      </c>
      <c r="AA84" s="3" t="inlineStr"/>
      <c r="AB84" s="3" t="inlineStr"/>
      <c r="AC84" s="3" t="inlineStr">
        <is>
          <t>Needs a case-specific interpretation question before any depth encoding.</t>
        </is>
      </c>
      <c r="AD84" s="3" t="inlineStr"/>
      <c r="AE84" s="3" t="inlineStr">
        <is>
          <t>RESEARCHER_NORMALIZATION_OF_STATED_BEHAVIOR</t>
        </is>
      </c>
      <c r="AF84" s="3" t="inlineStr">
        <is>
          <t>SERVER_CHECKED_2026-09-13; CORRECTED</t>
        </is>
      </c>
      <c r="AG84" s="3" t="inlineStr"/>
      <c r="AH84" s="3" t="inlineStr"/>
    </row>
    <row r="85" ht="45" customHeight="1">
      <c r="A85" s="3" t="inlineStr">
        <is>
          <t>E1-084</t>
        </is>
      </c>
      <c r="B85" s="3" t="inlineStr">
        <is>
          <t>new</t>
        </is>
      </c>
      <c r="C85" s="3" t="inlineStr"/>
      <c r="D85" s="3" t="inlineStr">
        <is>
          <t>community</t>
        </is>
      </c>
      <c r="E85" s="3" t="inlineStr">
        <is>
          <t>user-authored naturalistic</t>
        </is>
      </c>
      <c r="F85" s="3" t="inlineStr">
        <is>
          <t>Home Assistant Community thread 566330: Automation to turn ON/OFF devices at different times/days</t>
        </is>
      </c>
      <c r="G85" s="5" t="inlineStr">
        <is>
          <t>https://community.home-assistant.io/t/automation-to-turn-on-off-devices-at-different-times-days/566330</t>
        </is>
      </c>
      <c r="H85" s="3" t="inlineStr">
        <is>
          <t>opening post (created 2023-05-01 UTC)</t>
        </is>
      </c>
      <c r="I85" s="3" t="inlineStr">
        <is>
          <t>2026-09-13</t>
        </is>
      </c>
      <c r="J85" s="3" t="inlineStr">
        <is>
          <t>Turn lights on from 6 pm to 9 pm Sunday to Thursday and from 7 pm to 11 pm Friday and Saturday.</t>
        </is>
      </c>
      <c r="K85" s="3" t="inlineStr"/>
      <c r="L85" s="3" t="inlineStr">
        <is>
          <t>IN_SCOPE</t>
        </is>
      </c>
      <c r="M85" s="3" t="inlineStr"/>
      <c r="N85" s="3" t="inlineStr"/>
      <c r="O85" s="3" t="inlineStr">
        <is>
          <t>clock/calendar</t>
        </is>
      </c>
      <c r="P85" s="3" t="inlineStr">
        <is>
          <t>immediate/unspecified</t>
        </is>
      </c>
      <c r="Q85" s="3" t="inlineStr">
        <is>
          <t>sequence/composition</t>
        </is>
      </c>
      <c r="R85" s="3" t="inlineStr">
        <is>
          <t>none/unspecified</t>
        </is>
      </c>
      <c r="S85" s="3" t="inlineStr">
        <is>
          <t>multiple</t>
        </is>
      </c>
      <c r="T85" s="3" t="inlineStr">
        <is>
          <t>one-shot/unspecified</t>
        </is>
      </c>
      <c r="U85" s="3" t="inlineStr">
        <is>
          <t>R9</t>
        </is>
      </c>
      <c r="V85" s="3" t="inlineStr"/>
      <c r="W85" s="3" t="inlineStr"/>
      <c r="X85" s="3" t="inlineStr">
        <is>
          <t>R9</t>
        </is>
      </c>
      <c r="Y85" s="3" t="inlineStr">
        <is>
          <t>no</t>
        </is>
      </c>
      <c r="Z85" s="3" t="inlineStr">
        <is>
          <t>breadth_only_pending_depth_selection</t>
        </is>
      </c>
      <c r="AA85" s="3" t="inlineStr"/>
      <c r="AB85" s="3" t="inlineStr"/>
      <c r="AC85" s="3" t="inlineStr"/>
      <c r="AD85" s="3" t="inlineStr"/>
      <c r="AE85" s="3" t="inlineStr">
        <is>
          <t>RESEARCHER_NORMALIZATION_OF_STATED_BEHAVIOR</t>
        </is>
      </c>
      <c r="AF85" s="3" t="inlineStr">
        <is>
          <t>SERVER_CHECKED_2026-09-13; CORRECTED</t>
        </is>
      </c>
      <c r="AG85" s="3" t="inlineStr"/>
      <c r="AH85" s="3" t="inlineStr"/>
    </row>
    <row r="86" ht="45" customHeight="1">
      <c r="A86" s="3" t="inlineStr">
        <is>
          <t>E1-085</t>
        </is>
      </c>
      <c r="B86" s="3" t="inlineStr">
        <is>
          <t>new</t>
        </is>
      </c>
      <c r="C86" s="3" t="inlineStr"/>
      <c r="D86" s="3" t="inlineStr">
        <is>
          <t>community</t>
        </is>
      </c>
      <c r="E86" s="3" t="inlineStr">
        <is>
          <t>user-authored naturalistic</t>
        </is>
      </c>
      <c r="F86" s="3" t="inlineStr">
        <is>
          <t>Home Assistant Community thread 485629: How to trigger an automation based on temperature hysteresis</t>
        </is>
      </c>
      <c r="G86" s="5" t="inlineStr">
        <is>
          <t>https://community.home-assistant.io/t/how-to-trigger-an-automation-based-on-temperature-hysteresis/485629</t>
        </is>
      </c>
      <c r="H86" s="3" t="inlineStr">
        <is>
          <t>opening post (created 2022-11-07 UTC)</t>
        </is>
      </c>
      <c r="I86" s="3" t="inlineStr">
        <is>
          <t>2026-09-13</t>
        </is>
      </c>
      <c r="J86" s="3" t="inlineStr">
        <is>
          <t>When temperature drops below 19°C, turn heater on; when temperature raises above 19.5°C, turn heater off.</t>
        </is>
      </c>
      <c r="K86" s="3" t="inlineStr"/>
      <c r="L86" s="3" t="inlineStr">
        <is>
          <t>IN_SCOPE</t>
        </is>
      </c>
      <c r="M86" s="3" t="inlineStr"/>
      <c r="N86" s="3" t="inlineStr"/>
      <c r="O86" s="3" t="inlineStr">
        <is>
          <t>event/state</t>
        </is>
      </c>
      <c r="P86" s="3" t="inlineStr">
        <is>
          <t>immediate/unspecified</t>
        </is>
      </c>
      <c r="Q86" s="3" t="inlineStr">
        <is>
          <t>guard/branch</t>
        </is>
      </c>
      <c r="R86" s="3" t="inlineStr">
        <is>
          <t>none/unspecified</t>
        </is>
      </c>
      <c r="S86" s="3" t="inlineStr">
        <is>
          <t>single</t>
        </is>
      </c>
      <c r="T86" s="3" t="inlineStr">
        <is>
          <t>one-shot/unspecified</t>
        </is>
      </c>
      <c r="U86" s="3" t="inlineStr">
        <is>
          <t>R1, R5</t>
        </is>
      </c>
      <c r="V86" s="3" t="inlineStr"/>
      <c r="W86" s="3" t="inlineStr"/>
      <c r="X86" s="3" t="inlineStr">
        <is>
          <t>R1, R5</t>
        </is>
      </c>
      <c r="Y86" s="3" t="inlineStr">
        <is>
          <t>no</t>
        </is>
      </c>
      <c r="Z86" s="3" t="inlineStr">
        <is>
          <t>breadth_only_pending_depth_selection</t>
        </is>
      </c>
      <c r="AA86" s="3" t="inlineStr"/>
      <c r="AB86" s="3" t="inlineStr"/>
      <c r="AC86" s="3" t="inlineStr"/>
      <c r="AD86" s="3" t="inlineStr"/>
      <c r="AE86" s="3" t="inlineStr">
        <is>
          <t>RESEARCHER_NORMALIZATION_OF_STATED_BEHAVIOR</t>
        </is>
      </c>
      <c r="AF86" s="3" t="inlineStr">
        <is>
          <t>SERVER_CHECKED_2026-09-13; CORRECTED</t>
        </is>
      </c>
      <c r="AG86" s="3" t="inlineStr"/>
      <c r="AH86" s="3" t="inlineStr"/>
    </row>
    <row r="87" ht="45" customHeight="1">
      <c r="A87" s="3" t="inlineStr">
        <is>
          <t>E1-086</t>
        </is>
      </c>
      <c r="B87" s="3" t="inlineStr">
        <is>
          <t>new</t>
        </is>
      </c>
      <c r="C87" s="3" t="inlineStr"/>
      <c r="D87" s="3" t="inlineStr">
        <is>
          <t>community</t>
        </is>
      </c>
      <c r="E87" s="3" t="inlineStr">
        <is>
          <t>user-authored naturalistic</t>
        </is>
      </c>
      <c r="F87" s="3" t="inlineStr">
        <is>
          <t>Home Assistant Community thread 878961: Stop an automation mid-run via an input boolean?</t>
        </is>
      </c>
      <c r="G87" s="5" t="inlineStr">
        <is>
          <t>https://community.home-assistant.io/t/stop-an-automation-mid-run-via-an-input-boolean/878961</t>
        </is>
      </c>
      <c r="H87" s="3" t="inlineStr">
        <is>
          <t>opening post (created 2025-04-17 UTC)</t>
        </is>
      </c>
      <c r="I87" s="3" t="inlineStr">
        <is>
          <t>2026-09-13</t>
        </is>
      </c>
      <c r="J87" s="3" t="inlineStr">
        <is>
          <t>Run sprinkler zone 1 for 10 minutes, wait 30 seconds, then zone 2 for 10 minutes; stop the entire automation mid-run if the input boolean is turned off.</t>
        </is>
      </c>
      <c r="K87" s="3" t="inlineStr"/>
      <c r="L87" s="3" t="inlineStr">
        <is>
          <t>IN_SCOPE</t>
        </is>
      </c>
      <c r="M87" s="3" t="inlineStr"/>
      <c r="N87" s="3" t="inlineStr"/>
      <c r="O87" s="3" t="inlineStr">
        <is>
          <t>event/state</t>
        </is>
      </c>
      <c r="P87" s="3" t="inlineStr">
        <is>
          <t>duration/window</t>
        </is>
      </c>
      <c r="Q87" s="3" t="inlineStr">
        <is>
          <t>sequence/composition; guard/branch</t>
        </is>
      </c>
      <c r="R87" s="3" t="inlineStr">
        <is>
          <t>timestamp/prior-state</t>
        </is>
      </c>
      <c r="S87" s="3" t="inlineStr">
        <is>
          <t>single</t>
        </is>
      </c>
      <c r="T87" s="3" t="inlineStr">
        <is>
          <t>one-shot/unspecified</t>
        </is>
      </c>
      <c r="U87" s="3" t="inlineStr">
        <is>
          <t>R1, R6, B1</t>
        </is>
      </c>
      <c r="V87" s="3" t="inlineStr"/>
      <c r="W87" s="3" t="inlineStr"/>
      <c r="X87" s="3" t="inlineStr">
        <is>
          <t>R1, R6, B1</t>
        </is>
      </c>
      <c r="Y87" s="3" t="inlineStr">
        <is>
          <t>no</t>
        </is>
      </c>
      <c r="Z87" s="3" t="inlineStr">
        <is>
          <t>proposed_depth_addition</t>
        </is>
      </c>
      <c r="AA87" s="3" t="inlineStr">
        <is>
          <t>3</t>
        </is>
      </c>
      <c r="AB87" s="3" t="inlineStr">
        <is>
          <t>Naturalistic cancelable sequential sprinkler run.</t>
        </is>
      </c>
      <c r="AC87" s="3" t="inlineStr"/>
      <c r="AD87" s="3" t="inlineStr"/>
      <c r="AE87" s="3" t="inlineStr">
        <is>
          <t>RESEARCHER_NORMALIZATION_OF_STATED_BEHAVIOR</t>
        </is>
      </c>
      <c r="AF87" s="3" t="inlineStr">
        <is>
          <t>SERVER_CHECKED_2026-09-13; CORRECTED</t>
        </is>
      </c>
      <c r="AG87" s="3" t="inlineStr"/>
      <c r="AH87" s="3" t="inlineStr"/>
    </row>
    <row r="88" ht="45" customHeight="1">
      <c r="A88" s="3" t="inlineStr">
        <is>
          <t>E1-087</t>
        </is>
      </c>
      <c r="B88" s="3" t="inlineStr">
        <is>
          <t>new</t>
        </is>
      </c>
      <c r="C88" s="3" t="inlineStr"/>
      <c r="D88" s="3" t="inlineStr">
        <is>
          <t>community</t>
        </is>
      </c>
      <c r="E88" s="3" t="inlineStr">
        <is>
          <t>user-authored naturalistic</t>
        </is>
      </c>
      <c r="F88" s="3" t="inlineStr">
        <is>
          <t>Home Assistant Community thread 367362: Understanding automations with time delays and how to control them</t>
        </is>
      </c>
      <c r="G88" s="5" t="inlineStr">
        <is>
          <t>https://community.home-assistant.io/t/understanding-automations-with-time-delays-and-how-to-control-them/367362</t>
        </is>
      </c>
      <c r="H88" s="3" t="inlineStr">
        <is>
          <t>opening post (created 2021-12-15 UTC)</t>
        </is>
      </c>
      <c r="I88" s="3" t="inlineStr">
        <is>
          <t>2026-09-13</t>
        </is>
      </c>
      <c r="J88" s="3" t="inlineStr">
        <is>
          <t>Pressing a button turns on a light for exactly ten minutes, then turns it off; pressing again within the window restarts the ten-minute timer.</t>
        </is>
      </c>
      <c r="K88" s="3" t="inlineStr"/>
      <c r="L88" s="3" t="inlineStr">
        <is>
          <t>IN_SCOPE</t>
        </is>
      </c>
      <c r="M88" s="3" t="inlineStr"/>
      <c r="N88" s="3" t="inlineStr"/>
      <c r="O88" s="3" t="inlineStr">
        <is>
          <t>event/state; manual</t>
        </is>
      </c>
      <c r="P88" s="3" t="inlineStr">
        <is>
          <t>duration/window</t>
        </is>
      </c>
      <c r="Q88" s="3" t="inlineStr">
        <is>
          <t>sequence/composition</t>
        </is>
      </c>
      <c r="R88" s="3" t="inlineStr">
        <is>
          <t>timestamp/prior-state</t>
        </is>
      </c>
      <c r="S88" s="3" t="inlineStr">
        <is>
          <t>single</t>
        </is>
      </c>
      <c r="T88" s="3" t="inlineStr">
        <is>
          <t>one-shot/unspecified</t>
        </is>
      </c>
      <c r="U88" s="3" t="inlineStr">
        <is>
          <t>R1, R3, R6, B1</t>
        </is>
      </c>
      <c r="V88" s="3" t="inlineStr"/>
      <c r="W88" s="3" t="inlineStr"/>
      <c r="X88" s="3" t="inlineStr">
        <is>
          <t>R1, R3, R6, B1</t>
        </is>
      </c>
      <c r="Y88" s="3" t="inlineStr">
        <is>
          <t>no</t>
        </is>
      </c>
      <c r="Z88" s="3" t="inlineStr">
        <is>
          <t>breadth_only_pending_depth_selection</t>
        </is>
      </c>
      <c r="AA88" s="3" t="inlineStr"/>
      <c r="AB88" s="3" t="inlineStr"/>
      <c r="AC88" s="3" t="inlineStr"/>
      <c r="AD88" s="3" t="inlineStr"/>
      <c r="AE88" s="3" t="inlineStr">
        <is>
          <t>RESEARCHER_NORMALIZATION_OF_STATED_BEHAVIOR</t>
        </is>
      </c>
      <c r="AF88" s="3" t="inlineStr">
        <is>
          <t>SERVER_CHECKED_2026-09-13; CORRECTED</t>
        </is>
      </c>
      <c r="AG88" s="3" t="inlineStr"/>
      <c r="AH88" s="3" t="inlineStr">
        <is>
          <t>timed-on</t>
        </is>
      </c>
    </row>
    <row r="89" ht="45" customHeight="1">
      <c r="A89" s="3" t="inlineStr">
        <is>
          <t>E1-088</t>
        </is>
      </c>
      <c r="B89" s="3" t="inlineStr">
        <is>
          <t>new</t>
        </is>
      </c>
      <c r="C89" s="3" t="inlineStr"/>
      <c r="D89" s="3" t="inlineStr">
        <is>
          <t>community</t>
        </is>
      </c>
      <c r="E89" s="3" t="inlineStr">
        <is>
          <t>user-authored naturalistic</t>
        </is>
      </c>
      <c r="F89" s="3" t="inlineStr">
        <is>
          <t>Home Assistant Community thread 712624: How to enable an automation between times</t>
        </is>
      </c>
      <c r="G89" s="5" t="inlineStr">
        <is>
          <t>https://community.home-assistant.io/t/how-to-enable-an-automation-between-times/712624</t>
        </is>
      </c>
      <c r="H89" s="3" t="inlineStr">
        <is>
          <t>opening post (created 2024-04-03 UTC)</t>
        </is>
      </c>
      <c r="I89" s="3" t="inlineStr">
        <is>
          <t>2026-09-13</t>
        </is>
      </c>
      <c r="J89" s="3" t="inlineStr">
        <is>
          <t>Between sunset minus two hours and sunset, turn den lights on if the weather becomes very overcast or rainy.</t>
        </is>
      </c>
      <c r="K89" s="3" t="inlineStr"/>
      <c r="L89" s="3" t="inlineStr">
        <is>
          <t>IN_SCOPE</t>
        </is>
      </c>
      <c r="M89" s="3" t="inlineStr"/>
      <c r="N89" s="3" t="inlineStr"/>
      <c r="O89" s="3" t="inlineStr">
        <is>
          <t>event/state; clock/calendar</t>
        </is>
      </c>
      <c r="P89" s="3" t="inlineStr">
        <is>
          <t>immediate/unspecified</t>
        </is>
      </c>
      <c r="Q89" s="3" t="inlineStr">
        <is>
          <t>sequence/composition; guard/branch</t>
        </is>
      </c>
      <c r="R89" s="3" t="inlineStr">
        <is>
          <t>none/unspecified</t>
        </is>
      </c>
      <c r="S89" s="3" t="inlineStr">
        <is>
          <t>multiple</t>
        </is>
      </c>
      <c r="T89" s="3" t="inlineStr">
        <is>
          <t>one-shot/unspecified</t>
        </is>
      </c>
      <c r="U89" s="3" t="inlineStr">
        <is>
          <t>R1, R9</t>
        </is>
      </c>
      <c r="V89" s="3" t="inlineStr"/>
      <c r="W89" s="3" t="inlineStr"/>
      <c r="X89" s="3" t="inlineStr">
        <is>
          <t>R1, R9</t>
        </is>
      </c>
      <c r="Y89" s="3" t="inlineStr">
        <is>
          <t>no</t>
        </is>
      </c>
      <c r="Z89" s="3" t="inlineStr">
        <is>
          <t>breadth_only_pending_depth_selection</t>
        </is>
      </c>
      <c r="AA89" s="3" t="inlineStr"/>
      <c r="AB89" s="3" t="inlineStr"/>
      <c r="AC89" s="3" t="inlineStr"/>
      <c r="AD89" s="3" t="inlineStr"/>
      <c r="AE89" s="3" t="inlineStr">
        <is>
          <t>RESEARCHER_NORMALIZATION_OF_STATED_BEHAVIOR</t>
        </is>
      </c>
      <c r="AF89" s="3" t="inlineStr">
        <is>
          <t>SERVER_CHECKED_2026-09-13; CORRECTED</t>
        </is>
      </c>
      <c r="AG89" s="3" t="inlineStr"/>
      <c r="AH89" s="3" t="inlineStr"/>
    </row>
    <row r="90" ht="45" customHeight="1">
      <c r="A90" s="3" t="inlineStr">
        <is>
          <t>E1-089</t>
        </is>
      </c>
      <c r="B90" s="3" t="inlineStr">
        <is>
          <t>new</t>
        </is>
      </c>
      <c r="C90" s="3" t="inlineStr"/>
      <c r="D90" s="3" t="inlineStr">
        <is>
          <t>community</t>
        </is>
      </c>
      <c r="E90" s="3" t="inlineStr">
        <is>
          <t>community-published example</t>
        </is>
      </c>
      <c r="F90" s="3" t="inlineStr">
        <is>
          <t>Home Assistant Community thread 302465: Evolution of an automation. Turn a light on/off at sunset/sunrise</t>
        </is>
      </c>
      <c r="G90" s="5" t="inlineStr">
        <is>
          <t>https://community.home-assistant.io/t/evolution-of-an-automation-turn-a-light-on-off-at-sunset-sunrise/302465</t>
        </is>
      </c>
      <c r="H90" s="3" t="inlineStr">
        <is>
          <t>opening post (created 2021-04-24 UTC)</t>
        </is>
      </c>
      <c r="I90" s="3" t="inlineStr">
        <is>
          <t>2026-09-13</t>
        </is>
      </c>
      <c r="J90" s="3" t="inlineStr">
        <is>
          <t>Turn on a light just before sunset and turn it off just before sunrise; also handle missed events after Home Assistant restart.</t>
        </is>
      </c>
      <c r="K90" s="3" t="inlineStr"/>
      <c r="L90" s="3" t="inlineStr">
        <is>
          <t>IN_SCOPE</t>
        </is>
      </c>
      <c r="M90" s="3" t="inlineStr"/>
      <c r="N90" s="3" t="inlineStr"/>
      <c r="O90" s="3" t="inlineStr">
        <is>
          <t>clock/calendar</t>
        </is>
      </c>
      <c r="P90" s="3" t="inlineStr">
        <is>
          <t>delay/order</t>
        </is>
      </c>
      <c r="Q90" s="3" t="inlineStr">
        <is>
          <t>sequence/composition</t>
        </is>
      </c>
      <c r="R90" s="3" t="inlineStr">
        <is>
          <t>timestamp/prior-state</t>
        </is>
      </c>
      <c r="S90" s="3" t="inlineStr">
        <is>
          <t>multiple</t>
        </is>
      </c>
      <c r="T90" s="3" t="inlineStr">
        <is>
          <t>one-shot/unspecified</t>
        </is>
      </c>
      <c r="U90" s="3" t="inlineStr">
        <is>
          <t>R2, R9, B1</t>
        </is>
      </c>
      <c r="V90" s="3" t="inlineStr"/>
      <c r="W90" s="3" t="inlineStr"/>
      <c r="X90" s="3" t="inlineStr">
        <is>
          <t>R2, R9, B1</t>
        </is>
      </c>
      <c r="Y90" s="3" t="inlineStr">
        <is>
          <t>no</t>
        </is>
      </c>
      <c r="Z90" s="3" t="inlineStr">
        <is>
          <t>breadth_only_pending_depth_selection</t>
        </is>
      </c>
      <c r="AA90" s="3" t="inlineStr"/>
      <c r="AB90" s="3" t="inlineStr"/>
      <c r="AC90" s="3" t="inlineStr"/>
      <c r="AD90" s="3" t="inlineStr"/>
      <c r="AE90" s="3" t="inlineStr">
        <is>
          <t>RESEARCHER_NORMALIZATION_OF_STATED_BEHAVIOR</t>
        </is>
      </c>
      <c r="AF90" s="3" t="inlineStr">
        <is>
          <t>SERVER_CHECKED_2026-09-13; CORRECTED</t>
        </is>
      </c>
      <c r="AG90" s="3" t="inlineStr"/>
      <c r="AH90" s="3" t="inlineStr"/>
    </row>
    <row r="91" ht="45" customHeight="1">
      <c r="A91" s="3" t="inlineStr">
        <is>
          <t>E1-090</t>
        </is>
      </c>
      <c r="B91" s="3" t="inlineStr">
        <is>
          <t>new</t>
        </is>
      </c>
      <c r="C91" s="3" t="inlineStr"/>
      <c r="D91" s="3" t="inlineStr">
        <is>
          <t>community</t>
        </is>
      </c>
      <c r="E91" s="3" t="inlineStr">
        <is>
          <t>user-authored naturalistic</t>
        </is>
      </c>
      <c r="F91" s="3" t="inlineStr">
        <is>
          <t>Home Assistant Community thread 670621: Turn something on for a set time</t>
        </is>
      </c>
      <c r="G91" s="5" t="inlineStr">
        <is>
          <t>https://community.home-assistant.io/t/turn-something-on-for-a-set-time/670621</t>
        </is>
      </c>
      <c r="H91" s="3" t="inlineStr">
        <is>
          <t>opening post (created 2024-01-10 UTC)</t>
        </is>
      </c>
      <c r="I91" s="3" t="inlineStr">
        <is>
          <t>2026-09-13</t>
        </is>
      </c>
      <c r="J91" s="3" t="inlineStr">
        <is>
          <t>Given some trigger and conditions, turn something on for a set time and then off half an hour later.</t>
        </is>
      </c>
      <c r="K91" s="3" t="inlineStr"/>
      <c r="L91" s="3" t="inlineStr">
        <is>
          <t>IN_SCOPE</t>
        </is>
      </c>
      <c r="M91" s="3" t="inlineStr"/>
      <c r="N91" s="3" t="inlineStr"/>
      <c r="O91" s="3" t="inlineStr">
        <is>
          <t>unspecified</t>
        </is>
      </c>
      <c r="P91" s="3" t="inlineStr">
        <is>
          <t>delay/order; duration/window</t>
        </is>
      </c>
      <c r="Q91" s="3" t="inlineStr">
        <is>
          <t>sequence/composition</t>
        </is>
      </c>
      <c r="R91" s="3" t="inlineStr">
        <is>
          <t>timestamp/prior-state</t>
        </is>
      </c>
      <c r="S91" s="3" t="inlineStr">
        <is>
          <t>multiple</t>
        </is>
      </c>
      <c r="T91" s="3" t="inlineStr">
        <is>
          <t>one-shot/unspecified</t>
        </is>
      </c>
      <c r="U91" s="3" t="inlineStr">
        <is>
          <t>R2, R6</t>
        </is>
      </c>
      <c r="V91" s="3" t="inlineStr"/>
      <c r="W91" s="3" t="inlineStr"/>
      <c r="X91" s="3" t="inlineStr">
        <is>
          <t>R2, R6</t>
        </is>
      </c>
      <c r="Y91" s="3" t="inlineStr">
        <is>
          <t>no</t>
        </is>
      </c>
      <c r="Z91" s="3" t="inlineStr">
        <is>
          <t>breadth_only_pending_depth_selection</t>
        </is>
      </c>
      <c r="AA91" s="3" t="inlineStr"/>
      <c r="AB91" s="3" t="inlineStr"/>
      <c r="AC91" s="3" t="inlineStr"/>
      <c r="AD91" s="3" t="inlineStr"/>
      <c r="AE91" s="3" t="inlineStr">
        <is>
          <t>RESEARCHER_NORMALIZATION_OF_STATED_BEHAVIOR</t>
        </is>
      </c>
      <c r="AF91" s="3" t="inlineStr">
        <is>
          <t>SERVER_CHECKED_2026-09-13; CORRECTED</t>
        </is>
      </c>
      <c r="AG91" s="3" t="inlineStr"/>
      <c r="AH91" s="3" t="inlineStr">
        <is>
          <t>timed-on</t>
        </is>
      </c>
    </row>
    <row r="92" ht="45" customHeight="1">
      <c r="A92" s="3" t="inlineStr">
        <is>
          <t>E1-091</t>
        </is>
      </c>
      <c r="B92" s="3" t="inlineStr">
        <is>
          <t>new</t>
        </is>
      </c>
      <c r="C92" s="3" t="inlineStr"/>
      <c r="D92" s="3" t="inlineStr">
        <is>
          <t>community</t>
        </is>
      </c>
      <c r="E92" s="3" t="inlineStr">
        <is>
          <t>user-authored naturalistic</t>
        </is>
      </c>
      <c r="F92" s="3" t="inlineStr">
        <is>
          <t>Home Assistant Community thread 987759: Automation to run every 5 minutes</t>
        </is>
      </c>
      <c r="G92" s="5" t="inlineStr">
        <is>
          <t>https://community.home-assistant.io/t/automation-to-run-every-5-minutes/987759</t>
        </is>
      </c>
      <c r="H92" s="3" t="inlineStr">
        <is>
          <t>opening post (created 2026-02-17 UTC)</t>
        </is>
      </c>
      <c r="I92" s="3" t="inlineStr">
        <is>
          <t>2026-09-13</t>
        </is>
      </c>
      <c r="J92" s="3" t="inlineStr">
        <is>
          <t>Every five minutes, check several radiator valve positions and notify when the specified joint condition holds.</t>
        </is>
      </c>
      <c r="K92" s="3" t="inlineStr"/>
      <c r="L92" s="3" t="inlineStr">
        <is>
          <t>AMBIGUOUS</t>
        </is>
      </c>
      <c r="M92" s="3" t="inlineStr">
        <is>
          <t>The source does not state the content of the joint condition over the valve positions.</t>
        </is>
      </c>
      <c r="N92" s="3" t="inlineStr"/>
      <c r="O92" s="3" t="inlineStr">
        <is>
          <t>event/state</t>
        </is>
      </c>
      <c r="P92" s="3" t="inlineStr">
        <is>
          <t>duration/window; periodic/count</t>
        </is>
      </c>
      <c r="Q92" s="3" t="inlineStr">
        <is>
          <t>sequence/composition; guard/branch; repeat</t>
        </is>
      </c>
      <c r="R92" s="3" t="inlineStr">
        <is>
          <t>none/unspecified</t>
        </is>
      </c>
      <c r="S92" s="3" t="inlineStr">
        <is>
          <t>multiple</t>
        </is>
      </c>
      <c r="T92" s="3" t="inlineStr">
        <is>
          <t>recurring</t>
        </is>
      </c>
      <c r="U92" s="3" t="inlineStr">
        <is>
          <t>R1, R7</t>
        </is>
      </c>
      <c r="V92" s="3" t="inlineStr"/>
      <c r="W92" s="3" t="inlineStr"/>
      <c r="X92" s="3" t="inlineStr">
        <is>
          <t>N/A</t>
        </is>
      </c>
      <c r="Y92" s="3" t="inlineStr">
        <is>
          <t>no</t>
        </is>
      </c>
      <c r="Z92" s="3" t="inlineStr">
        <is>
          <t>breadth_only_pending_depth_selection</t>
        </is>
      </c>
      <c r="AA92" s="3" t="inlineStr"/>
      <c r="AB92" s="3" t="inlineStr"/>
      <c r="AC92" s="3" t="inlineStr">
        <is>
          <t>Needs a case-specific interpretation question before any depth encoding.</t>
        </is>
      </c>
      <c r="AD92" s="3" t="inlineStr"/>
      <c r="AE92" s="3" t="inlineStr">
        <is>
          <t>RESEARCHER_NORMALIZATION_OF_STATED_BEHAVIOR</t>
        </is>
      </c>
      <c r="AF92" s="3" t="inlineStr">
        <is>
          <t>SERVER_CHECKED_2026-09-13; CORRECTED</t>
        </is>
      </c>
      <c r="AG92" s="3" t="inlineStr"/>
      <c r="AH92" s="3" t="inlineStr"/>
    </row>
    <row r="93" ht="45" customHeight="1">
      <c r="A93" s="3" t="inlineStr">
        <is>
          <t>E1-092</t>
        </is>
      </c>
      <c r="B93" s="3" t="inlineStr">
        <is>
          <t>new</t>
        </is>
      </c>
      <c r="C93" s="3" t="inlineStr"/>
      <c r="D93" s="3" t="inlineStr">
        <is>
          <t>community</t>
        </is>
      </c>
      <c r="E93" s="3" t="inlineStr">
        <is>
          <t>user-authored naturalistic</t>
        </is>
      </c>
      <c r="F93" s="3" t="inlineStr">
        <is>
          <t>Home Assistant Community thread 955561: Running groups of actions in Parallel</t>
        </is>
      </c>
      <c r="G93" s="5" t="inlineStr">
        <is>
          <t>https://community.home-assistant.io/t/running-groups-of-actions-in-parallel/955561</t>
        </is>
      </c>
      <c r="H93" s="3" t="inlineStr">
        <is>
          <t>opening post (created 2025-11-26 UTC)</t>
        </is>
      </c>
      <c r="I93" s="3" t="inlineStr">
        <is>
          <t>2026-09-13</t>
        </is>
      </c>
      <c r="J93" s="3" t="inlineStr">
        <is>
          <t>Have Alexas tell tasks, news, and alarm settings while Home Assistant turns off lights, locks doors, and sets alarms; continue the house shutdown if Alexa communication fails.</t>
        </is>
      </c>
      <c r="K93" s="3" t="inlineStr"/>
      <c r="L93" s="3" t="inlineStr">
        <is>
          <t>IN_SCOPE</t>
        </is>
      </c>
      <c r="M93" s="3" t="inlineStr"/>
      <c r="N93" s="3" t="inlineStr"/>
      <c r="O93" s="3" t="inlineStr">
        <is>
          <t>event/state</t>
        </is>
      </c>
      <c r="P93" s="3" t="inlineStr">
        <is>
          <t>immediate/unspecified</t>
        </is>
      </c>
      <c r="Q93" s="3" t="inlineStr">
        <is>
          <t>sequence/composition; guard/branch</t>
        </is>
      </c>
      <c r="R93" s="3" t="inlineStr">
        <is>
          <t>none/unspecified</t>
        </is>
      </c>
      <c r="S93" s="3" t="inlineStr">
        <is>
          <t>multiple</t>
        </is>
      </c>
      <c r="T93" s="3" t="inlineStr">
        <is>
          <t>one-shot/unspecified</t>
        </is>
      </c>
      <c r="U93" s="3" t="inlineStr">
        <is>
          <t>R1, R6, B2</t>
        </is>
      </c>
      <c r="V93" s="3" t="inlineStr"/>
      <c r="W93" s="3" t="inlineStr"/>
      <c r="X93" s="3" t="inlineStr">
        <is>
          <t>R1, R6, B2</t>
        </is>
      </c>
      <c r="Y93" s="3" t="inlineStr">
        <is>
          <t>no</t>
        </is>
      </c>
      <c r="Z93" s="3" t="inlineStr">
        <is>
          <t>proposed_depth_addition</t>
        </is>
      </c>
      <c r="AA93" s="3" t="inlineStr">
        <is>
          <t>1</t>
        </is>
      </c>
      <c r="AB93" s="3" t="inlineStr">
        <is>
          <t>Primary true-independent-parallel-flow boundary probe.</t>
        </is>
      </c>
      <c r="AC93" s="3" t="inlineStr"/>
      <c r="AD93" s="3" t="inlineStr"/>
      <c r="AE93" s="3" t="inlineStr">
        <is>
          <t>RESEARCHER_NORMALIZATION_OF_STATED_BEHAVIOR</t>
        </is>
      </c>
      <c r="AF93" s="3" t="inlineStr">
        <is>
          <t>SERVER_CHECKED_2026-09-13; CORRECTED</t>
        </is>
      </c>
      <c r="AG93" s="3" t="inlineStr"/>
      <c r="AH93" s="3" t="inlineStr">
        <is>
          <t>parallel-flow</t>
        </is>
      </c>
    </row>
    <row r="94" ht="45" customHeight="1">
      <c r="A94" s="3" t="inlineStr">
        <is>
          <t>E1-093</t>
        </is>
      </c>
      <c r="B94" s="3" t="inlineStr">
        <is>
          <t>new</t>
        </is>
      </c>
      <c r="C94" s="3" t="inlineStr"/>
      <c r="D94" s="3" t="inlineStr">
        <is>
          <t>community</t>
        </is>
      </c>
      <c r="E94" s="3" t="inlineStr">
        <is>
          <t>user-authored naturalistic</t>
        </is>
      </c>
      <c r="F94" s="3" t="inlineStr">
        <is>
          <t>Home Assistant Community thread 555703: [solved] Automation w/ 3 actions (notification scripts): how to make them run in parallel?</t>
        </is>
      </c>
      <c r="G94" s="5" t="inlineStr">
        <is>
          <t>https://community.home-assistant.io/t/solved-automation-w-3-actions-notification-scripts-how-to-make-them-run-in-parallel/555703</t>
        </is>
      </c>
      <c r="H94" s="3" t="inlineStr">
        <is>
          <t>opening post (created 2023-04-03 UTC)</t>
        </is>
      </c>
      <c r="I94" s="3" t="inlineStr">
        <is>
          <t>2026-09-13</t>
        </is>
      </c>
      <c r="J94" s="3" t="inlineStr">
        <is>
          <t>When the doorbell triggers, run three scripts that display the door camera on a phone, tablet, and PC; delays in one script should not postpone the others.</t>
        </is>
      </c>
      <c r="K94" s="3" t="inlineStr"/>
      <c r="L94" s="3" t="inlineStr">
        <is>
          <t>IN_SCOPE</t>
        </is>
      </c>
      <c r="M94" s="3" t="inlineStr"/>
      <c r="N94" s="3" t="inlineStr"/>
      <c r="O94" s="3" t="inlineStr">
        <is>
          <t>event/state</t>
        </is>
      </c>
      <c r="P94" s="3" t="inlineStr">
        <is>
          <t>delay/order</t>
        </is>
      </c>
      <c r="Q94" s="3" t="inlineStr">
        <is>
          <t>sequence/composition; guard/branch</t>
        </is>
      </c>
      <c r="R94" s="3" t="inlineStr">
        <is>
          <t>none/unspecified</t>
        </is>
      </c>
      <c r="S94" s="3" t="inlineStr">
        <is>
          <t>multiple</t>
        </is>
      </c>
      <c r="T94" s="3" t="inlineStr">
        <is>
          <t>one-shot/unspecified</t>
        </is>
      </c>
      <c r="U94" s="3" t="inlineStr">
        <is>
          <t>R1, R2, R9, B2</t>
        </is>
      </c>
      <c r="V94" s="3" t="inlineStr"/>
      <c r="W94" s="3" t="inlineStr"/>
      <c r="X94" s="3" t="inlineStr">
        <is>
          <t>R1, R2, B2</t>
        </is>
      </c>
      <c r="Y94" s="3" t="inlineStr">
        <is>
          <t>no</t>
        </is>
      </c>
      <c r="Z94" s="3" t="inlineStr">
        <is>
          <t>breadth_only_pending_depth_selection</t>
        </is>
      </c>
      <c r="AA94" s="3" t="inlineStr"/>
      <c r="AB94" s="3" t="inlineStr"/>
      <c r="AC94" s="3" t="inlineStr"/>
      <c r="AD94" s="3" t="inlineStr"/>
      <c r="AE94" s="3" t="inlineStr">
        <is>
          <t>RESEARCHER_NORMALIZATION_OF_STATED_BEHAVIOR</t>
        </is>
      </c>
      <c r="AF94" s="3" t="inlineStr">
        <is>
          <t>SERVER_CHECKED_2026-09-13; CORRECTED</t>
        </is>
      </c>
      <c r="AG94" s="3" t="inlineStr"/>
      <c r="AH94" s="3" t="inlineStr">
        <is>
          <t>parallel-flow</t>
        </is>
      </c>
    </row>
    <row r="95" ht="45" customHeight="1">
      <c r="A95" s="3" t="inlineStr">
        <is>
          <t>E1-094</t>
        </is>
      </c>
      <c r="B95" s="3" t="inlineStr">
        <is>
          <t>new</t>
        </is>
      </c>
      <c r="C95" s="3" t="inlineStr"/>
      <c r="D95" s="3" t="inlineStr">
        <is>
          <t>community</t>
        </is>
      </c>
      <c r="E95" s="3" t="inlineStr">
        <is>
          <t>user-authored naturalistic</t>
        </is>
      </c>
      <c r="F95" s="3" t="inlineStr">
        <is>
          <t>Home Assistant Community thread 585191: Trying to create action in parallel with delays for certain actions that need to occur sequentially</t>
        </is>
      </c>
      <c r="G95" s="5" t="inlineStr">
        <is>
          <t>https://community.home-assistant.io/t/trying-to-create-action-in-parallel-with-delays-for-certain-actions-that-need-to-occur-sequentially/585191</t>
        </is>
      </c>
      <c r="H95" s="3" t="inlineStr">
        <is>
          <t>opening post (created 2023-06-24 UTC)</t>
        </is>
      </c>
      <c r="I95" s="3" t="inlineStr">
        <is>
          <t>2026-09-13</t>
        </is>
      </c>
      <c r="J95" s="3" t="inlineStr">
        <is>
          <t>In parallel, control multiple lights while preserving each light’s own fade, delay, and turn-off sequence.</t>
        </is>
      </c>
      <c r="K95" s="3" t="inlineStr"/>
      <c r="L95" s="3" t="inlineStr">
        <is>
          <t>IN_SCOPE</t>
        </is>
      </c>
      <c r="M95" s="3" t="inlineStr"/>
      <c r="N95" s="3" t="inlineStr"/>
      <c r="O95" s="3" t="inlineStr">
        <is>
          <t>unspecified</t>
        </is>
      </c>
      <c r="P95" s="3" t="inlineStr">
        <is>
          <t>delay/order</t>
        </is>
      </c>
      <c r="Q95" s="3" t="inlineStr">
        <is>
          <t>sequence/composition; guard/branch; parallel</t>
        </is>
      </c>
      <c r="R95" s="3" t="inlineStr">
        <is>
          <t>none/unspecified</t>
        </is>
      </c>
      <c r="S95" s="3" t="inlineStr">
        <is>
          <t>multiple</t>
        </is>
      </c>
      <c r="T95" s="3" t="inlineStr">
        <is>
          <t>one-shot/unspecified</t>
        </is>
      </c>
      <c r="U95" s="3" t="inlineStr">
        <is>
          <t>R2, R6, B2</t>
        </is>
      </c>
      <c r="V95" s="3" t="inlineStr"/>
      <c r="W95" s="3" t="inlineStr"/>
      <c r="X95" s="3" t="inlineStr">
        <is>
          <t>R2, R6, B2</t>
        </is>
      </c>
      <c r="Y95" s="3" t="inlineStr">
        <is>
          <t>no</t>
        </is>
      </c>
      <c r="Z95" s="3" t="inlineStr">
        <is>
          <t>breadth_only_pending_depth_selection</t>
        </is>
      </c>
      <c r="AA95" s="3" t="inlineStr"/>
      <c r="AB95" s="3" t="inlineStr"/>
      <c r="AC95" s="3" t="inlineStr"/>
      <c r="AD95" s="3" t="inlineStr"/>
      <c r="AE95" s="3" t="inlineStr">
        <is>
          <t>RESEARCHER_NORMALIZATION_OF_STATED_BEHAVIOR</t>
        </is>
      </c>
      <c r="AF95" s="3" t="inlineStr">
        <is>
          <t>SERVER_CHECKED_2026-09-13; CORRECTED</t>
        </is>
      </c>
      <c r="AG95" s="3" t="inlineStr"/>
      <c r="AH95" s="3" t="inlineStr">
        <is>
          <t>parallel-flow</t>
        </is>
      </c>
    </row>
    <row r="96" ht="45" customHeight="1">
      <c r="A96" s="3" t="inlineStr">
        <is>
          <t>E1-095</t>
        </is>
      </c>
      <c r="B96" s="3" t="inlineStr">
        <is>
          <t>new</t>
        </is>
      </c>
      <c r="C96" s="3" t="inlineStr"/>
      <c r="D96" s="3" t="inlineStr">
        <is>
          <t>community</t>
        </is>
      </c>
      <c r="E96" s="3" t="inlineStr">
        <is>
          <t>user-authored naturalistic</t>
        </is>
      </c>
      <c r="F96" s="3" t="inlineStr">
        <is>
          <t>Home Assistant Community thread 654561: Getting an average reading of a sensor during certain hours</t>
        </is>
      </c>
      <c r="G96" s="5" t="inlineStr">
        <is>
          <t>https://community.home-assistant.io/t/getting-an-average-reading-of-a-sensor-during-certain-hours/654561</t>
        </is>
      </c>
      <c r="H96" s="3" t="inlineStr">
        <is>
          <t>opening post (created 2023-12-12 UTC)</t>
        </is>
      </c>
      <c r="I96" s="3" t="inlineStr">
        <is>
          <t>2026-09-13</t>
        </is>
      </c>
      <c r="J96" s="3" t="inlineStr">
        <is>
          <t>Calculate the average pH and chlorine levels between 10:00 and 15:00 and report those readings daily.</t>
        </is>
      </c>
      <c r="K96" s="3" t="inlineStr"/>
      <c r="L96" s="3" t="inlineStr">
        <is>
          <t>IN_SCOPE</t>
        </is>
      </c>
      <c r="M96" s="3" t="inlineStr">
        <is>
          <t>The source leaves a behavior-defining choice unresolved.</t>
        </is>
      </c>
      <c r="N96" s="3" t="inlineStr"/>
      <c r="O96" s="3" t="inlineStr">
        <is>
          <t>clock/calendar</t>
        </is>
      </c>
      <c r="P96" s="3" t="inlineStr">
        <is>
          <t>periodic/count</t>
        </is>
      </c>
      <c r="Q96" s="3" t="inlineStr">
        <is>
          <t>sequence/composition</t>
        </is>
      </c>
      <c r="R96" s="3" t="inlineStr">
        <is>
          <t>count/aggregate</t>
        </is>
      </c>
      <c r="S96" s="3" t="inlineStr">
        <is>
          <t>multiple</t>
        </is>
      </c>
      <c r="T96" s="3" t="inlineStr">
        <is>
          <t>recurring</t>
        </is>
      </c>
      <c r="U96" s="3" t="inlineStr">
        <is>
          <t>R5, R9, L-ACCUM</t>
        </is>
      </c>
      <c r="V96" s="3" t="inlineStr"/>
      <c r="W96" s="3" t="inlineStr"/>
      <c r="X96" s="3" t="inlineStr">
        <is>
          <t>R5, R8, R9</t>
        </is>
      </c>
      <c r="Y96" s="3" t="inlineStr">
        <is>
          <t>no</t>
        </is>
      </c>
      <c r="Z96" s="3" t="inlineStr">
        <is>
          <t>proposed_depth_addition</t>
        </is>
      </c>
      <c r="AA96" s="3" t="inlineStr">
        <is>
          <t>2</t>
        </is>
      </c>
      <c r="AB96" s="3" t="inlineStr">
        <is>
          <t>Primary internal accumulation/average boundary probe; semantics must be fixed first.</t>
        </is>
      </c>
      <c r="AC96" s="3" t="inlineStr"/>
      <c r="AD96" s="3" t="inlineStr"/>
      <c r="AE96" s="3" t="inlineStr">
        <is>
          <t>RESEARCHER_NORMALIZATION_OF_STATED_BEHAVIOR</t>
        </is>
      </c>
      <c r="AF96" s="3" t="inlineStr">
        <is>
          <t>SERVER_CHECKED_2026-09-13; CORRECTED</t>
        </is>
      </c>
      <c r="AG96" s="3" t="inlineStr">
        <is>
          <t>Author interpretation: read pH and chlorine at 10:00, 11:00, 12:00, 13:00 and 14:00 (five samples) and report each mean at 15:00.</t>
        </is>
      </c>
      <c r="AH96" s="3" t="inlineStr"/>
    </row>
    <row r="97" ht="45" customHeight="1">
      <c r="A97" s="3" t="inlineStr">
        <is>
          <t>E1-096</t>
        </is>
      </c>
      <c r="B97" s="3" t="inlineStr">
        <is>
          <t>new</t>
        </is>
      </c>
      <c r="C97" s="3" t="inlineStr"/>
      <c r="D97" s="3" t="inlineStr">
        <is>
          <t>community</t>
        </is>
      </c>
      <c r="E97" s="3" t="inlineStr">
        <is>
          <t>community-published example</t>
        </is>
      </c>
      <c r="F97" s="3" t="inlineStr">
        <is>
          <t>Home Assistant Community thread 653754: 🪫 Low Battery Notifications &amp; Actions</t>
        </is>
      </c>
      <c r="G97" s="5" t="inlineStr">
        <is>
          <t>https://community.home-assistant.io/t/low-battery-notifications-actions/653754</t>
        </is>
      </c>
      <c r="H97" s="3" t="inlineStr">
        <is>
          <t>opening post (created 2023-12-11 UTC)</t>
        </is>
      </c>
      <c r="I97" s="3" t="inlineStr">
        <is>
          <t>2026-09-13</t>
        </is>
      </c>
      <c r="J97" s="3" t="inlineStr">
        <is>
          <t>At a chosen time and day, identify selected battery sensors below a warning threshold or unavailable/unknown and notify selected devices.</t>
        </is>
      </c>
      <c r="K97" s="3" t="inlineStr"/>
      <c r="L97" s="3" t="inlineStr">
        <is>
          <t>IN_SCOPE</t>
        </is>
      </c>
      <c r="M97" s="3" t="inlineStr"/>
      <c r="N97" s="3" t="inlineStr"/>
      <c r="O97" s="3" t="inlineStr">
        <is>
          <t>unspecified</t>
        </is>
      </c>
      <c r="P97" s="3" t="inlineStr">
        <is>
          <t>immediate/unspecified</t>
        </is>
      </c>
      <c r="Q97" s="3" t="inlineStr">
        <is>
          <t>sequence/composition</t>
        </is>
      </c>
      <c r="R97" s="3" t="inlineStr">
        <is>
          <t>none/unspecified</t>
        </is>
      </c>
      <c r="S97" s="3" t="inlineStr">
        <is>
          <t>multiple</t>
        </is>
      </c>
      <c r="T97" s="3" t="inlineStr">
        <is>
          <t>one-shot/unspecified</t>
        </is>
      </c>
      <c r="U97" s="3" t="inlineStr">
        <is>
          <t>R5</t>
        </is>
      </c>
      <c r="V97" s="3" t="inlineStr"/>
      <c r="W97" s="3" t="inlineStr"/>
      <c r="X97" s="3" t="inlineStr">
        <is>
          <t>R5</t>
        </is>
      </c>
      <c r="Y97" s="3" t="inlineStr">
        <is>
          <t>no</t>
        </is>
      </c>
      <c r="Z97" s="3" t="inlineStr">
        <is>
          <t>breadth_only_pending_depth_selection</t>
        </is>
      </c>
      <c r="AA97" s="3" t="inlineStr"/>
      <c r="AB97" s="3" t="inlineStr"/>
      <c r="AC97" s="3" t="inlineStr"/>
      <c r="AD97" s="3" t="inlineStr"/>
      <c r="AE97" s="3" t="inlineStr">
        <is>
          <t>RESEARCHER_NORMALIZATION_OF_STATED_BEHAVIOR</t>
        </is>
      </c>
      <c r="AF97" s="3" t="inlineStr">
        <is>
          <t>SERVER_CHECKED_2026-09-13; CORRECTED</t>
        </is>
      </c>
      <c r="AG97" s="3" t="inlineStr"/>
      <c r="AH97" s="3" t="inlineStr"/>
    </row>
    <row r="98" ht="45" customHeight="1">
      <c r="A98" s="3" t="inlineStr">
        <is>
          <t>E1-097</t>
        </is>
      </c>
      <c r="B98" s="3" t="inlineStr">
        <is>
          <t>new</t>
        </is>
      </c>
      <c r="C98" s="3" t="inlineStr"/>
      <c r="D98" s="3" t="inlineStr">
        <is>
          <t>community</t>
        </is>
      </c>
      <c r="E98" s="3" t="inlineStr">
        <is>
          <t>community-published example</t>
        </is>
      </c>
      <c r="F98" s="3" t="inlineStr">
        <is>
          <t>Home Assistant Community thread 892319: 🔔 Smart Doorbell Button (Zigbee) with Sound, Lights, Notifications &amp; Presence Awareness</t>
        </is>
      </c>
      <c r="G98" s="5" t="inlineStr">
        <is>
          <t>https://community.home-assistant.io/t/smart-doorbell-button-zigbee-with-sound-lights-notifications-presence-awareness/892319</t>
        </is>
      </c>
      <c r="H98" s="3" t="inlineStr">
        <is>
          <t>opening post (created 2025-05-19 UTC)</t>
        </is>
      </c>
      <c r="I98" s="3" t="inlineStr">
        <is>
          <t>2026-09-13</t>
        </is>
      </c>
      <c r="J98" s="3" t="inlineStr">
        <is>
          <t>On a doorbell button, play sound, flash lights, and send notifications, with presence or zone conditions; run enabled actions at the same time.</t>
        </is>
      </c>
      <c r="K98" s="3" t="inlineStr"/>
      <c r="L98" s="3" t="inlineStr">
        <is>
          <t>IN_SCOPE</t>
        </is>
      </c>
      <c r="M98" s="3" t="inlineStr"/>
      <c r="N98" s="3" t="inlineStr"/>
      <c r="O98" s="3" t="inlineStr">
        <is>
          <t>event/state</t>
        </is>
      </c>
      <c r="P98" s="3" t="inlineStr">
        <is>
          <t>immediate/unspecified</t>
        </is>
      </c>
      <c r="Q98" s="3" t="inlineStr">
        <is>
          <t>sequence/composition; guard/branch; parallel</t>
        </is>
      </c>
      <c r="R98" s="3" t="inlineStr">
        <is>
          <t>none/unspecified</t>
        </is>
      </c>
      <c r="S98" s="3" t="inlineStr">
        <is>
          <t>multiple</t>
        </is>
      </c>
      <c r="T98" s="3" t="inlineStr">
        <is>
          <t>one-shot/unspecified</t>
        </is>
      </c>
      <c r="U98" s="3" t="inlineStr">
        <is>
          <t>R9, B2</t>
        </is>
      </c>
      <c r="V98" s="3" t="inlineStr"/>
      <c r="W98" s="3" t="inlineStr"/>
      <c r="X98" s="3" t="inlineStr">
        <is>
          <t>R1, R6, B2</t>
        </is>
      </c>
      <c r="Y98" s="3" t="inlineStr">
        <is>
          <t>no</t>
        </is>
      </c>
      <c r="Z98" s="3" t="inlineStr">
        <is>
          <t>breadth_only_pending_depth_selection</t>
        </is>
      </c>
      <c r="AA98" s="3" t="inlineStr"/>
      <c r="AB98" s="3" t="inlineStr"/>
      <c r="AC98" s="3" t="inlineStr"/>
      <c r="AD98" s="3" t="inlineStr"/>
      <c r="AE98" s="3" t="inlineStr">
        <is>
          <t>RESEARCHER_NORMALIZATION_OF_STATED_BEHAVIOR</t>
        </is>
      </c>
      <c r="AF98" s="3" t="inlineStr">
        <is>
          <t>SERVER_CHECKED_2026-09-13; CORRECTED</t>
        </is>
      </c>
      <c r="AG98" s="3" t="inlineStr"/>
      <c r="AH98" s="3" t="inlineStr">
        <is>
          <t>parallel-flow</t>
        </is>
      </c>
    </row>
    <row r="99" ht="45" customHeight="1">
      <c r="A99" s="3" t="inlineStr">
        <is>
          <t>E1-098</t>
        </is>
      </c>
      <c r="B99" s="3" t="inlineStr">
        <is>
          <t>new</t>
        </is>
      </c>
      <c r="C99" s="3" t="inlineStr"/>
      <c r="D99" s="3" t="inlineStr">
        <is>
          <t>community</t>
        </is>
      </c>
      <c r="E99" s="3" t="inlineStr">
        <is>
          <t>community-published example</t>
        </is>
      </c>
      <c r="F99" s="3" t="inlineStr">
        <is>
          <t>Home Assistant Community thread 1024799: Simple Washing Machine Finished Notification – power sensor + helper, beginner friendly</t>
        </is>
      </c>
      <c r="G99" s="5" t="inlineStr">
        <is>
          <t>https://community.home-assistant.io/t/simple-washing-machine-finished-notification-power-sensor-helper-beginner-friendly/1024799</t>
        </is>
      </c>
      <c r="H99" s="3" t="inlineStr">
        <is>
          <t>opening post (created 2026-09-12 UTC)</t>
        </is>
      </c>
      <c r="I99" s="3" t="inlineStr">
        <is>
          <t>2026-09-13</t>
        </is>
      </c>
      <c r="J99" s="3" t="inlineStr">
        <is>
          <t>Detect that the washing machine started when power rises above a running threshold; after power stays below a finish threshold for a configured time, notify and reset for the next cycle.</t>
        </is>
      </c>
      <c r="K99" s="3" t="inlineStr"/>
      <c r="L99" s="3" t="inlineStr">
        <is>
          <t>IN_SCOPE</t>
        </is>
      </c>
      <c r="M99" s="3" t="inlineStr"/>
      <c r="N99" s="3" t="inlineStr"/>
      <c r="O99" s="3" t="inlineStr">
        <is>
          <t>event/state</t>
        </is>
      </c>
      <c r="P99" s="3" t="inlineStr">
        <is>
          <t>delay/order; duration/window</t>
        </is>
      </c>
      <c r="Q99" s="3" t="inlineStr">
        <is>
          <t>sequence/composition; guard/branch</t>
        </is>
      </c>
      <c r="R99" s="3" t="inlineStr">
        <is>
          <t>timestamp/prior-state</t>
        </is>
      </c>
      <c r="S99" s="3" t="inlineStr">
        <is>
          <t>multiple</t>
        </is>
      </c>
      <c r="T99" s="3" t="inlineStr">
        <is>
          <t>one-shot/unspecified</t>
        </is>
      </c>
      <c r="U99" s="3" t="inlineStr">
        <is>
          <t>R1, R2, R3, R4, R5</t>
        </is>
      </c>
      <c r="V99" s="3" t="inlineStr"/>
      <c r="W99" s="3" t="inlineStr"/>
      <c r="X99" s="3" t="inlineStr">
        <is>
          <t>R1, R2, R3, R4, R5</t>
        </is>
      </c>
      <c r="Y99" s="3" t="inlineStr">
        <is>
          <t>no</t>
        </is>
      </c>
      <c r="Z99" s="3" t="inlineStr">
        <is>
          <t>breadth_only_pending_depth_selection</t>
        </is>
      </c>
      <c r="AA99" s="3" t="inlineStr"/>
      <c r="AB99" s="3" t="inlineStr"/>
      <c r="AC99" s="3" t="inlineStr"/>
      <c r="AD99" s="3" t="inlineStr"/>
      <c r="AE99" s="3" t="inlineStr">
        <is>
          <t>RESEARCHER_NORMALIZATION_OF_STATED_BEHAVIOR</t>
        </is>
      </c>
      <c r="AF99" s="3" t="inlineStr">
        <is>
          <t>SERVER_CHECKED_2026-09-13; CORRECTED</t>
        </is>
      </c>
      <c r="AG99" s="3" t="inlineStr"/>
      <c r="AH99" s="3" t="inlineStr"/>
    </row>
    <row r="100" ht="45" customHeight="1">
      <c r="A100" s="3" t="inlineStr">
        <is>
          <t>E1-099</t>
        </is>
      </c>
      <c r="B100" s="3" t="inlineStr">
        <is>
          <t>new</t>
        </is>
      </c>
      <c r="C100" s="3" t="inlineStr"/>
      <c r="D100" s="3" t="inlineStr">
        <is>
          <t>community</t>
        </is>
      </c>
      <c r="E100" s="3" t="inlineStr">
        <is>
          <t>user-authored naturalistic</t>
        </is>
      </c>
      <c r="F100" s="3" t="inlineStr">
        <is>
          <t>Home Assistant Community thread 729908: Need help with light automation</t>
        </is>
      </c>
      <c r="G100" s="5" t="inlineStr">
        <is>
          <t>https://community.home-assistant.io/t/need-help-with-light-automation/729908</t>
        </is>
      </c>
      <c r="H100" s="3" t="inlineStr">
        <is>
          <t>opening post (created 2024-05-16 UTC)</t>
        </is>
      </c>
      <c r="I100" s="3" t="inlineStr">
        <is>
          <t>2026-09-13</t>
        </is>
      </c>
      <c r="J100" s="3" t="inlineStr">
        <is>
          <t>A manually switched-on light stays on at least 5 minutes; each motion event extends the on time by 2 minutes; the light is turned off only when no motion has been detected for 2 minutes.</t>
        </is>
      </c>
      <c r="K100" s="3" t="inlineStr"/>
      <c r="L100" s="3" t="inlineStr">
        <is>
          <t>IN_SCOPE</t>
        </is>
      </c>
      <c r="M100" s="3" t="inlineStr"/>
      <c r="N100" s="3" t="inlineStr"/>
      <c r="O100" s="3" t="inlineStr">
        <is>
          <t>manual</t>
        </is>
      </c>
      <c r="P100" s="3" t="inlineStr">
        <is>
          <t>duration/window</t>
        </is>
      </c>
      <c r="Q100" s="3" t="inlineStr">
        <is>
          <t>straight-line/unspecified</t>
        </is>
      </c>
      <c r="R100" s="3" t="inlineStr">
        <is>
          <t>none/unspecified</t>
        </is>
      </c>
      <c r="S100" s="3" t="inlineStr">
        <is>
          <t>single</t>
        </is>
      </c>
      <c r="T100" s="3" t="inlineStr">
        <is>
          <t>one-shot/unspecified</t>
        </is>
      </c>
      <c r="U100" s="3" t="inlineStr">
        <is>
          <t>R3</t>
        </is>
      </c>
      <c r="V100" s="3" t="inlineStr"/>
      <c r="W100" s="3" t="inlineStr"/>
      <c r="X100" s="3" t="inlineStr">
        <is>
          <t>R3, R10</t>
        </is>
      </c>
      <c r="Y100" s="3" t="inlineStr">
        <is>
          <t>no</t>
        </is>
      </c>
      <c r="Z100" s="3" t="inlineStr">
        <is>
          <t>proposed_depth_addition</t>
        </is>
      </c>
      <c r="AA100" s="3" t="inlineStr">
        <is>
          <t>4</t>
        </is>
      </c>
      <c r="AB100" s="3" t="inlineStr">
        <is>
          <t>Manual minimum-on interval with event-driven deadline extension.</t>
        </is>
      </c>
      <c r="AC100" s="3" t="inlineStr"/>
      <c r="AD100" s="3" t="inlineStr"/>
      <c r="AE100" s="3" t="inlineStr">
        <is>
          <t>RESEARCHER_NORMALIZATION_OF_STATED_BEHAVIOR</t>
        </is>
      </c>
      <c r="AF100" s="3" t="inlineStr">
        <is>
          <t>SERVER_CHECKED_2026-09-13; CORRECTED</t>
        </is>
      </c>
      <c r="AG100" s="3" t="inlineStr"/>
      <c r="AH100" s="3" t="inlineStr"/>
    </row>
    <row r="101" ht="45" customHeight="1">
      <c r="A101" s="3" t="inlineStr">
        <is>
          <t>E1-100</t>
        </is>
      </c>
      <c r="B101" s="3" t="inlineStr">
        <is>
          <t>new</t>
        </is>
      </c>
      <c r="C101" s="3" t="inlineStr"/>
      <c r="D101" s="3" t="inlineStr">
        <is>
          <t>community</t>
        </is>
      </c>
      <c r="E101" s="3" t="inlineStr">
        <is>
          <t>user-authored naturalistic</t>
        </is>
      </c>
      <c r="F101" s="3" t="inlineStr">
        <is>
          <t>Home Assistant Community thread 641504: Automation that triggers when all residents are not home</t>
        </is>
      </c>
      <c r="G101" s="5" t="inlineStr">
        <is>
          <t>https://community.home-assistant.io/t/automation-that-triggers-when-all-residents-are-not-home/641504</t>
        </is>
      </c>
      <c r="H101" s="3" t="inlineStr">
        <is>
          <t>opening post (created 2023-11-16 UTC)</t>
        </is>
      </c>
      <c r="I101" s="3" t="inlineStr">
        <is>
          <t>2026-09-13</t>
        </is>
      </c>
      <c r="J101" s="3" t="inlineStr">
        <is>
          <t>When the final resident leaves so occupancy becomes zero, if the door is unlocked, send a notification.</t>
        </is>
      </c>
      <c r="K101" s="3" t="inlineStr"/>
      <c r="L101" s="3" t="inlineStr">
        <is>
          <t>IN_SCOPE</t>
        </is>
      </c>
      <c r="M101" s="3" t="inlineStr"/>
      <c r="N101" s="3" t="inlineStr"/>
      <c r="O101" s="3" t="inlineStr">
        <is>
          <t>event/state</t>
        </is>
      </c>
      <c r="P101" s="3" t="inlineStr">
        <is>
          <t>immediate/unspecified</t>
        </is>
      </c>
      <c r="Q101" s="3" t="inlineStr">
        <is>
          <t>guard/branch</t>
        </is>
      </c>
      <c r="R101" s="3" t="inlineStr">
        <is>
          <t>none/unspecified</t>
        </is>
      </c>
      <c r="S101" s="3" t="inlineStr">
        <is>
          <t>single</t>
        </is>
      </c>
      <c r="T101" s="3" t="inlineStr">
        <is>
          <t>one-shot/unspecified</t>
        </is>
      </c>
      <c r="U101" s="3" t="inlineStr">
        <is>
          <t>R1</t>
        </is>
      </c>
      <c r="V101" s="3" t="inlineStr"/>
      <c r="W101" s="3" t="inlineStr"/>
      <c r="X101" s="3" t="inlineStr">
        <is>
          <t>R1</t>
        </is>
      </c>
      <c r="Y101" s="3" t="inlineStr">
        <is>
          <t>no</t>
        </is>
      </c>
      <c r="Z101" s="3" t="inlineStr">
        <is>
          <t>breadth_only_pending_depth_selection</t>
        </is>
      </c>
      <c r="AA101" s="3" t="inlineStr"/>
      <c r="AB101" s="3" t="inlineStr"/>
      <c r="AC101" s="3" t="inlineStr"/>
      <c r="AD101" s="3" t="inlineStr"/>
      <c r="AE101" s="3" t="inlineStr">
        <is>
          <t>RESEARCHER_NORMALIZATION_OF_STATED_BEHAVIOR</t>
        </is>
      </c>
      <c r="AF101" s="3" t="inlineStr">
        <is>
          <t>SERVER_CHECKED_2026-09-13; CORRECTED</t>
        </is>
      </c>
      <c r="AG101" s="3" t="inlineStr"/>
      <c r="AH101" s="3" t="inlineStr"/>
    </row>
  </sheetData>
  <autoFilter ref="A1:AH10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0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6" customWidth="1" min="4" max="4"/>
    <col width="24" customWidth="1" min="5" max="5"/>
    <col width="34" customWidth="1" min="6" max="6"/>
    <col width="28" customWidth="1" min="7" max="7"/>
    <col width="24" customWidth="1" min="8" max="8"/>
    <col width="15" customWidth="1" min="9" max="9"/>
    <col width="42" customWidth="1" min="10" max="10"/>
    <col width="42" customWidth="1" min="11" max="11"/>
    <col width="15" customWidth="1" min="12" max="12"/>
    <col width="42" customWidth="1" min="13" max="13"/>
    <col width="18" customWidth="1" min="14" max="14"/>
    <col width="24" customWidth="1" min="15" max="15"/>
    <col width="24" customWidth="1" min="16" max="16"/>
    <col width="24" customWidth="1" min="17" max="17"/>
    <col width="23" customWidth="1" min="18" max="18"/>
    <col width="20" customWidth="1" min="19" max="19"/>
    <col width="22" customWidth="1" min="20" max="20"/>
    <col width="24" customWidth="1" min="21" max="21"/>
    <col width="12" customWidth="1" min="22" max="22"/>
    <col width="12" customWidth="1" min="23" max="23"/>
    <col width="24" customWidth="1" min="24" max="24"/>
    <col width="10" customWidth="1" min="25" max="25"/>
    <col width="24" customWidth="1" min="26" max="26"/>
    <col width="12" customWidth="1" min="27" max="27"/>
    <col width="42" customWidth="1" min="28" max="28"/>
    <col width="42" customWidth="1" min="29" max="29"/>
    <col width="42" customWidth="1" min="30" max="30"/>
    <col width="24" customWidth="1" min="31" max="31"/>
    <col width="24" customWidth="1" min="32" max="32"/>
    <col width="42" customWidth="1" min="33" max="33"/>
    <col width="15" customWidth="1" min="34" max="34"/>
  </cols>
  <sheetData>
    <row r="1">
      <c r="A1" s="4" t="inlineStr">
        <is>
          <t>corpus_id</t>
        </is>
      </c>
      <c r="B1" s="4" t="inlineStr">
        <is>
          <t>cohort</t>
        </is>
      </c>
      <c r="C1" s="4" t="inlineStr">
        <is>
          <t>prior_case_id</t>
        </is>
      </c>
      <c r="D1" s="4" t="inlineStr">
        <is>
          <t>source_stratum</t>
        </is>
      </c>
      <c r="E1" s="4" t="inlineStr">
        <is>
          <t>provenance_type</t>
        </is>
      </c>
      <c r="F1" s="4" t="inlineStr">
        <is>
          <t>source_title</t>
        </is>
      </c>
      <c r="G1" s="4" t="inlineStr">
        <is>
          <t>source_url</t>
        </is>
      </c>
      <c r="H1" s="4" t="inlineStr">
        <is>
          <t>source_locator</t>
        </is>
      </c>
      <c r="I1" s="4" t="inlineStr">
        <is>
          <t>accessed_date</t>
        </is>
      </c>
      <c r="J1" s="4" t="inlineStr">
        <is>
          <t>original_text</t>
        </is>
      </c>
      <c r="K1" s="4" t="inlineStr">
        <is>
          <t>source_context</t>
        </is>
      </c>
      <c r="L1" s="4" t="inlineStr">
        <is>
          <t>screen_status</t>
        </is>
      </c>
      <c r="M1" s="4" t="inlineStr">
        <is>
          <t>screen_reason</t>
        </is>
      </c>
      <c r="N1" s="4" t="inlineStr">
        <is>
          <t>duplicate_family</t>
        </is>
      </c>
      <c r="O1" s="4" t="inlineStr">
        <is>
          <t>trigger_class</t>
        </is>
      </c>
      <c r="P1" s="4" t="inlineStr">
        <is>
          <t>temporal_class</t>
        </is>
      </c>
      <c r="Q1" s="4" t="inlineStr">
        <is>
          <t>control_class</t>
        </is>
      </c>
      <c r="R1" s="4" t="inlineStr">
        <is>
          <t>memory_class</t>
        </is>
      </c>
      <c r="S1" s="4" t="inlineStr">
        <is>
          <t>action_cardinality</t>
        </is>
      </c>
      <c r="T1" s="4" t="inlineStr">
        <is>
          <t>lifetime</t>
        </is>
      </c>
      <c r="U1" s="4" t="inlineStr">
        <is>
          <t>rb_preliminary</t>
        </is>
      </c>
      <c r="V1" s="4" t="inlineStr">
        <is>
          <t>rb_coder_1</t>
        </is>
      </c>
      <c r="W1" s="4" t="inlineStr">
        <is>
          <t>rb_coder_2</t>
        </is>
      </c>
      <c r="X1" s="4" t="inlineStr">
        <is>
          <t>rb_adjudicated</t>
        </is>
      </c>
      <c r="Y1" s="4" t="inlineStr">
        <is>
          <t>stage_a</t>
        </is>
      </c>
      <c r="Z1" s="4" t="inlineStr">
        <is>
          <t>depth_status</t>
        </is>
      </c>
      <c r="AA1" s="4" t="inlineStr">
        <is>
          <t>depth_rank</t>
        </is>
      </c>
      <c r="AB1" s="4" t="inlineStr">
        <is>
          <t>depth_reason</t>
        </is>
      </c>
      <c r="AC1" s="4" t="inlineStr">
        <is>
          <t>ambiguity_for_user</t>
        </is>
      </c>
      <c r="AD1" s="4" t="inlineStr">
        <is>
          <t>catalog_note</t>
        </is>
      </c>
      <c r="AE1" s="4" t="inlineStr">
        <is>
          <t>text_form</t>
        </is>
      </c>
      <c r="AF1" s="4" t="inlineStr">
        <is>
          <t>source_verification</t>
        </is>
      </c>
      <c r="AG1" s="4" t="inlineStr">
        <is>
          <t>notes</t>
        </is>
      </c>
      <c r="AH1" s="4" t="inlineStr">
        <is>
          <t>topic_family</t>
        </is>
      </c>
    </row>
    <row r="2" ht="45" customHeight="1">
      <c r="A2" s="3" t="inlineStr">
        <is>
          <t>E1-001</t>
        </is>
      </c>
      <c r="B2" s="3" t="inlineStr">
        <is>
          <t>seed</t>
        </is>
      </c>
      <c r="C2" s="3" t="inlineStr">
        <is>
          <t>C01</t>
        </is>
      </c>
      <c r="D2" s="3" t="inlineStr">
        <is>
          <t>official</t>
        </is>
      </c>
      <c r="E2" s="3" t="inlineStr">
        <is>
          <t>official example</t>
        </is>
      </c>
      <c r="F2" s="3" t="inlineStr">
        <is>
          <t>Home Assistant core, blueprints/motion_light.yaml</t>
        </is>
      </c>
      <c r="G2" s="5" t="inlineStr">
        <is>
          <t>https://github.com/home-assistant/core/blob/dev/homeassistant/components/automation/blueprints/motion_light.yaml</t>
        </is>
      </c>
      <c r="H2" s="3" t="inlineStr">
        <is>
          <t>blueprint.description; input.no_motion_wait.description; mode; actions</t>
        </is>
      </c>
      <c r="I2" s="3" t="inlineStr">
        <is>
          <t>2026-09-12</t>
        </is>
      </c>
      <c r="J2" s="3" t="inlineStr">
        <is>
          <t>description: "Turn on a light when motion is detected." / no_motion_wait: "Time to leave the light on after last motion is detected." / mode: restart / actions: light.turn_on -&gt; wait_for_trigger(motion on-&gt;off) -&gt; delay(no_motion_wait) -&gt; light.turn_off</t>
        </is>
      </c>
      <c r="K2" s="3" t="inlineStr"/>
      <c r="L2" s="3" t="inlineStr">
        <is>
          <t>IN_SCOPE</t>
        </is>
      </c>
      <c r="M2" s="3" t="inlineStr"/>
      <c r="N2" s="3" t="inlineStr"/>
      <c r="O2" s="3" t="inlineStr">
        <is>
          <t>event/state</t>
        </is>
      </c>
      <c r="P2" s="3" t="inlineStr">
        <is>
          <t>delay/order</t>
        </is>
      </c>
      <c r="Q2" s="3" t="inlineStr">
        <is>
          <t>guard/branch</t>
        </is>
      </c>
      <c r="R2" s="3" t="inlineStr">
        <is>
          <t>timestamp/prior-state</t>
        </is>
      </c>
      <c r="S2" s="3" t="inlineStr">
        <is>
          <t>single</t>
        </is>
      </c>
      <c r="T2" s="3" t="inlineStr">
        <is>
          <t>one-shot/unspecified</t>
        </is>
      </c>
      <c r="U2" s="3" t="inlineStr">
        <is>
          <t>R1, R3, R7, B1</t>
        </is>
      </c>
      <c r="V2" s="3" t="inlineStr"/>
      <c r="W2" s="3" t="inlineStr"/>
      <c r="X2" s="3" t="inlineStr">
        <is>
          <t>R1, R3, R7, B1</t>
        </is>
      </c>
      <c r="Y2" s="3" t="inlineStr">
        <is>
          <t>yes</t>
        </is>
      </c>
      <c r="Z2" s="3" t="inlineStr">
        <is>
          <t>completed_seed</t>
        </is>
      </c>
      <c r="AA2" s="3" t="inlineStr"/>
      <c r="AB2" s="3" t="inlineStr"/>
      <c r="AC2" s="3" t="inlineStr"/>
      <c r="AD2" s="3" t="inlineStr"/>
      <c r="AE2" s="3" t="inlineStr">
        <is>
          <t>REPO_VERIFIED_SOURCE_EXCERPT</t>
        </is>
      </c>
      <c r="AF2" s="3" t="inlineStr">
        <is>
          <t>SERVER_CHECKED_2026-09-13; CORRECTED</t>
        </is>
      </c>
      <c r="AG2" s="3" t="inlineStr">
        <is>
          <t>Stage A selection was a work-unit decision; no statistical sample-size rationale is claimed.</t>
        </is>
      </c>
      <c r="AH2" s="3" t="inlineStr"/>
    </row>
    <row r="3" ht="45" customHeight="1">
      <c r="A3" s="3" t="inlineStr">
        <is>
          <t>E1-002</t>
        </is>
      </c>
      <c r="B3" s="3" t="inlineStr">
        <is>
          <t>seed</t>
        </is>
      </c>
      <c r="C3" s="3" t="inlineStr">
        <is>
          <t>C03</t>
        </is>
      </c>
      <c r="D3" s="3" t="inlineStr">
        <is>
          <t>research</t>
        </is>
      </c>
      <c r="E3" s="3" t="inlineStr">
        <is>
          <t>research example</t>
        </is>
      </c>
      <c r="F3" s="3" t="inlineStr">
        <is>
          <t>TAPInspector (arXiv 2102.01468v2) §V-D, IFTTT applet</t>
        </is>
      </c>
      <c r="G3" s="5" t="inlineStr">
        <is>
          <t>https://arxiv.org/html/2102.01468v2</t>
        </is>
      </c>
      <c r="H3" s="3" t="inlineStr">
        <is>
          <t>§V-D, extended-action violation example, applet r_i</t>
        </is>
      </c>
      <c r="I3" s="3" t="inlineStr">
        <is>
          <t>2026-09-12</t>
        </is>
      </c>
      <c r="J3" s="3" t="inlineStr">
        <is>
          <t>Turn on fan for 15 minutes when CO₂&gt;1000ppm</t>
        </is>
      </c>
      <c r="K3" s="3" t="inlineStr"/>
      <c r="L3" s="3" t="inlineStr">
        <is>
          <t>IN_SCOPE</t>
        </is>
      </c>
      <c r="M3" s="3" t="inlineStr"/>
      <c r="N3" s="3" t="inlineStr"/>
      <c r="O3" s="3" t="inlineStr">
        <is>
          <t>event/state; clock/calendar</t>
        </is>
      </c>
      <c r="P3" s="3" t="inlineStr">
        <is>
          <t>duration/window</t>
        </is>
      </c>
      <c r="Q3" s="3" t="inlineStr">
        <is>
          <t>guard/branch</t>
        </is>
      </c>
      <c r="R3" s="3" t="inlineStr">
        <is>
          <t>timestamp/prior-state</t>
        </is>
      </c>
      <c r="S3" s="3" t="inlineStr">
        <is>
          <t>single</t>
        </is>
      </c>
      <c r="T3" s="3" t="inlineStr">
        <is>
          <t>one-shot/unspecified</t>
        </is>
      </c>
      <c r="U3" s="3" t="inlineStr">
        <is>
          <t>R1, R2</t>
        </is>
      </c>
      <c r="V3" s="3" t="inlineStr"/>
      <c r="W3" s="3" t="inlineStr"/>
      <c r="X3" s="3" t="inlineStr">
        <is>
          <t>R1, R2</t>
        </is>
      </c>
      <c r="Y3" s="3" t="inlineStr">
        <is>
          <t>yes</t>
        </is>
      </c>
      <c r="Z3" s="3" t="inlineStr">
        <is>
          <t>completed_seed</t>
        </is>
      </c>
      <c r="AA3" s="3" t="inlineStr"/>
      <c r="AB3" s="3" t="inlineStr"/>
      <c r="AC3" s="3" t="inlineStr"/>
      <c r="AD3" s="3" t="inlineStr"/>
      <c r="AE3" s="3" t="inlineStr">
        <is>
          <t>REPO_VERIFIED_SOURCE_EXCERPT</t>
        </is>
      </c>
      <c r="AF3" s="3" t="inlineStr">
        <is>
          <t>SERVER_CHECKED_2026-09-13; CORRECTED</t>
        </is>
      </c>
      <c r="AG3" s="3" t="inlineStr">
        <is>
          <t>Stage A selection was a work-unit decision; no statistical sample-size rationale is claimed.</t>
        </is>
      </c>
      <c r="AH3" s="3" t="inlineStr"/>
    </row>
    <row r="4" ht="45" customHeight="1">
      <c r="A4" s="3" t="inlineStr">
        <is>
          <t>E1-003</t>
        </is>
      </c>
      <c r="B4" s="3" t="inlineStr">
        <is>
          <t>seed</t>
        </is>
      </c>
      <c r="C4" s="3" t="inlineStr">
        <is>
          <t>C04</t>
        </is>
      </c>
      <c r="D4" s="3" t="inlineStr">
        <is>
          <t>research</t>
        </is>
      </c>
      <c r="E4" s="3" t="inlineStr">
        <is>
          <t>research example</t>
        </is>
      </c>
      <c r="F4" s="3" t="inlineStr">
        <is>
          <t>TAPInspector (arXiv 2102.01468v2) §V-D, IFTTT applet</t>
        </is>
      </c>
      <c r="G4" s="5" t="inlineStr">
        <is>
          <t>https://arxiv.org/html/2102.01468v2</t>
        </is>
      </c>
      <c r="H4" s="3" t="inlineStr">
        <is>
          <t>§V-D, extended-action violation example, applet r_j</t>
        </is>
      </c>
      <c r="I4" s="3" t="inlineStr">
        <is>
          <t>2026-09-12</t>
        </is>
      </c>
      <c r="J4" s="3" t="inlineStr">
        <is>
          <t>At noon turn your fan on for 15 minutes</t>
        </is>
      </c>
      <c r="K4" s="3" t="inlineStr"/>
      <c r="L4" s="3" t="inlineStr">
        <is>
          <t>IN_SCOPE</t>
        </is>
      </c>
      <c r="M4" s="3" t="inlineStr"/>
      <c r="N4" s="3" t="inlineStr"/>
      <c r="O4" s="3" t="inlineStr">
        <is>
          <t>clock/calendar</t>
        </is>
      </c>
      <c r="P4" s="3" t="inlineStr">
        <is>
          <t>duration/window</t>
        </is>
      </c>
      <c r="Q4" s="3" t="inlineStr">
        <is>
          <t>straight-line/unspecified</t>
        </is>
      </c>
      <c r="R4" s="3" t="inlineStr">
        <is>
          <t>timestamp/prior-state</t>
        </is>
      </c>
      <c r="S4" s="3" t="inlineStr">
        <is>
          <t>single</t>
        </is>
      </c>
      <c r="T4" s="3" t="inlineStr">
        <is>
          <t>one-shot/unspecified</t>
        </is>
      </c>
      <c r="U4" s="3" t="inlineStr">
        <is>
          <t>R9, R2</t>
        </is>
      </c>
      <c r="V4" s="3" t="inlineStr"/>
      <c r="W4" s="3" t="inlineStr"/>
      <c r="X4" s="3" t="inlineStr">
        <is>
          <t>R9, R2</t>
        </is>
      </c>
      <c r="Y4" s="3" t="inlineStr">
        <is>
          <t>yes</t>
        </is>
      </c>
      <c r="Z4" s="3" t="inlineStr">
        <is>
          <t>completed_seed</t>
        </is>
      </c>
      <c r="AA4" s="3" t="inlineStr"/>
      <c r="AB4" s="3" t="inlineStr"/>
      <c r="AC4" s="3" t="inlineStr"/>
      <c r="AD4" s="3" t="inlineStr"/>
      <c r="AE4" s="3" t="inlineStr">
        <is>
          <t>REPO_VERIFIED_SOURCE_EXCERPT</t>
        </is>
      </c>
      <c r="AF4" s="3" t="inlineStr">
        <is>
          <t>SERVER_CHECKED_2026-09-13; CORRECTED</t>
        </is>
      </c>
      <c r="AG4" s="3" t="inlineStr">
        <is>
          <t>Stage A selection was a work-unit decision; no statistical sample-size rationale is claimed.</t>
        </is>
      </c>
      <c r="AH4" s="3" t="inlineStr"/>
    </row>
    <row r="5" ht="45" customHeight="1">
      <c r="A5" s="3" t="inlineStr">
        <is>
          <t>E1-004</t>
        </is>
      </c>
      <c r="B5" s="3" t="inlineStr">
        <is>
          <t>seed</t>
        </is>
      </c>
      <c r="C5" s="3" t="inlineStr">
        <is>
          <t>C05</t>
        </is>
      </c>
      <c r="D5" s="3" t="inlineStr">
        <is>
          <t>community</t>
        </is>
      </c>
      <c r="E5" s="3" t="inlineStr">
        <is>
          <t>user-authored naturalistic</t>
        </is>
      </c>
      <c r="F5" s="3" t="inlineStr">
        <is>
          <t>Home Assistant Community thread 520305: How to set notifications when door is left open?</t>
        </is>
      </c>
      <c r="G5" s="5" t="inlineStr">
        <is>
          <t>https://community.home-assistant.io/t/how-to-set-notifications-when-door-is-left-open/520305</t>
        </is>
      </c>
      <c r="H5" s="3" t="inlineStr">
        <is>
          <t>opening post (created 2023-01-17 UTC)</t>
        </is>
      </c>
      <c r="I5" s="3" t="inlineStr">
        <is>
          <t>2026-09-12</t>
        </is>
      </c>
      <c r="J5" s="3" t="inlineStr">
        <is>
          <t>set notification if door is left open for 2 minutes and if not closed after that it should send notifications each minute</t>
        </is>
      </c>
      <c r="K5" s="3" t="inlineStr"/>
      <c r="L5" s="3" t="inlineStr">
        <is>
          <t>IN_SCOPE</t>
        </is>
      </c>
      <c r="M5" s="3" t="inlineStr"/>
      <c r="N5" s="3" t="inlineStr"/>
      <c r="O5" s="3" t="inlineStr">
        <is>
          <t>event/state</t>
        </is>
      </c>
      <c r="P5" s="3" t="inlineStr">
        <is>
          <t>delay/order; duration/window</t>
        </is>
      </c>
      <c r="Q5" s="3" t="inlineStr">
        <is>
          <t>sequence/composition; guard/branch</t>
        </is>
      </c>
      <c r="R5" s="3" t="inlineStr">
        <is>
          <t>timestamp/prior-state</t>
        </is>
      </c>
      <c r="S5" s="3" t="inlineStr">
        <is>
          <t>multiple</t>
        </is>
      </c>
      <c r="T5" s="3" t="inlineStr">
        <is>
          <t>one-shot/unspecified</t>
        </is>
      </c>
      <c r="U5" s="3" t="inlineStr">
        <is>
          <t>R3, R7</t>
        </is>
      </c>
      <c r="V5" s="3" t="inlineStr"/>
      <c r="W5" s="3" t="inlineStr"/>
      <c r="X5" s="3" t="inlineStr">
        <is>
          <t>R3, R7</t>
        </is>
      </c>
      <c r="Y5" s="3" t="inlineStr">
        <is>
          <t>yes</t>
        </is>
      </c>
      <c r="Z5" s="3" t="inlineStr">
        <is>
          <t>completed_seed</t>
        </is>
      </c>
      <c r="AA5" s="3" t="inlineStr"/>
      <c r="AB5" s="3" t="inlineStr"/>
      <c r="AC5" s="3" t="inlineStr"/>
      <c r="AD5" s="3" t="inlineStr"/>
      <c r="AE5" s="3" t="inlineStr">
        <is>
          <t>REPO_VERIFIED_SOURCE_EXCERPT</t>
        </is>
      </c>
      <c r="AF5" s="3" t="inlineStr">
        <is>
          <t>SERVER_CHECKED_2026-09-13; CORRECTED</t>
        </is>
      </c>
      <c r="AG5" s="3" t="inlineStr">
        <is>
          <t>Stage A selection was a work-unit decision; no statistical sample-size rationale is claimed.</t>
        </is>
      </c>
      <c r="AH5" s="3" t="inlineStr"/>
    </row>
    <row r="6" ht="45" customHeight="1">
      <c r="A6" s="3" t="inlineStr">
        <is>
          <t>E1-005</t>
        </is>
      </c>
      <c r="B6" s="3" t="inlineStr">
        <is>
          <t>seed</t>
        </is>
      </c>
      <c r="C6" s="3" t="inlineStr">
        <is>
          <t>C07</t>
        </is>
      </c>
      <c r="D6" s="3" t="inlineStr">
        <is>
          <t>community</t>
        </is>
      </c>
      <c r="E6" s="3" t="inlineStr">
        <is>
          <t>user-authored naturalistic</t>
        </is>
      </c>
      <c r="F6" s="3" t="inlineStr">
        <is>
          <t>Home Assistant Community thread 783900: How to automate open door notifications?</t>
        </is>
      </c>
      <c r="G6" s="5" t="inlineStr">
        <is>
          <t>https://community.home-assistant.io/t/how-to-automate-open-door-notifications/783900</t>
        </is>
      </c>
      <c r="H6" s="3" t="inlineStr">
        <is>
          <t>opening post (created 2024-10-18 UTC)</t>
        </is>
      </c>
      <c r="I6" s="3" t="inlineStr">
        <is>
          <t>2026-09-12</t>
        </is>
      </c>
      <c r="J6" s="3" t="inlineStr">
        <is>
          <t>trigger: "garage door is left open after 22:00 for more than 10 minutes"; "Blink the kitchen lights by dimming up and down 10 times in quick succession"; "pause for 5 minutes"; "Repeat the cycle up to 7 times"; "If at any point during the blinking cycles, the garage door is closed, stop the automation immediately"; "Ensure the kitchen lights return to their original state ... after the automation ends or during the pauses"</t>
        </is>
      </c>
      <c r="K6" s="3" t="inlineStr"/>
      <c r="L6" s="3" t="inlineStr">
        <is>
          <t>IN_SCOPE</t>
        </is>
      </c>
      <c r="M6" s="3" t="inlineStr"/>
      <c r="N6" s="3" t="inlineStr"/>
      <c r="O6" s="3" t="inlineStr">
        <is>
          <t>event/state</t>
        </is>
      </c>
      <c r="P6" s="3" t="inlineStr">
        <is>
          <t>delay/order; duration/window; periodic/count</t>
        </is>
      </c>
      <c r="Q6" s="3" t="inlineStr">
        <is>
          <t>sequence/composition; guard/branch; repeat</t>
        </is>
      </c>
      <c r="R6" s="3" t="inlineStr">
        <is>
          <t>timestamp/prior-state</t>
        </is>
      </c>
      <c r="S6" s="3" t="inlineStr">
        <is>
          <t>multiple</t>
        </is>
      </c>
      <c r="T6" s="3" t="inlineStr">
        <is>
          <t>one-shot/unspecified</t>
        </is>
      </c>
      <c r="U6" s="3" t="inlineStr">
        <is>
          <t>R9, R3, R5, R8, B5, B1</t>
        </is>
      </c>
      <c r="V6" s="3" t="inlineStr"/>
      <c r="W6" s="3" t="inlineStr"/>
      <c r="X6" s="3" t="inlineStr">
        <is>
          <t>R9, R3, R5, R8, B5, B1</t>
        </is>
      </c>
      <c r="Y6" s="3" t="inlineStr">
        <is>
          <t>yes</t>
        </is>
      </c>
      <c r="Z6" s="3" t="inlineStr">
        <is>
          <t>completed_seed</t>
        </is>
      </c>
      <c r="AA6" s="3" t="inlineStr"/>
      <c r="AB6" s="3" t="inlineStr"/>
      <c r="AC6" s="3" t="inlineStr"/>
      <c r="AD6" s="3" t="inlineStr"/>
      <c r="AE6" s="3" t="inlineStr">
        <is>
          <t>REPO_VERIFIED_SOURCE_EXCERPT</t>
        </is>
      </c>
      <c r="AF6" s="3" t="inlineStr">
        <is>
          <t>SERVER_CHECKED_2026-09-13; CORRECTED</t>
        </is>
      </c>
      <c r="AG6" s="3" t="inlineStr">
        <is>
          <t>Stage A selection was a work-unit decision; no statistical sample-size rationale is claimed.</t>
        </is>
      </c>
      <c r="AH6" s="3" t="inlineStr"/>
    </row>
    <row r="7" ht="45" customHeight="1">
      <c r="A7" s="3" t="inlineStr">
        <is>
          <t>E1-006</t>
        </is>
      </c>
      <c r="B7" s="3" t="inlineStr">
        <is>
          <t>seed</t>
        </is>
      </c>
      <c r="C7" s="3" t="inlineStr">
        <is>
          <t>C09</t>
        </is>
      </c>
      <c r="D7" s="3" t="inlineStr">
        <is>
          <t>elicited</t>
        </is>
      </c>
      <c r="E7" s="3" t="inlineStr">
        <is>
          <t>user-study elicited</t>
        </is>
      </c>
      <c r="F7" s="3" t="inlineStr">
        <is>
          <t>AutoTap (ICSE 2019) §III, Event-Event Conditional sample</t>
        </is>
      </c>
      <c r="G7" s="5" t="inlineStr">
        <is>
          <t>https://homes.cs.washington.edu/~jessejm/data/ZhangICSE2019.pdf</t>
        </is>
      </c>
      <c r="H7" s="3" t="inlineStr">
        <is>
          <t>§III template (g) Event-Event Conditional sample response; same statement in User Study 1 data, Result sheet, Excel row 16, column AM (header 1_Q25, statement 1)</t>
        </is>
      </c>
      <c r="I7" s="3" t="inlineStr">
        <is>
          <t>2026-09-12</t>
        </is>
      </c>
      <c r="J7" s="3" t="inlineStr">
        <is>
          <t>My smart door lock should always lock after I come in.</t>
        </is>
      </c>
      <c r="K7" s="3" t="inlineStr"/>
      <c r="L7" s="3" t="inlineStr">
        <is>
          <t>IN_SCOPE</t>
        </is>
      </c>
      <c r="M7" s="3" t="inlineStr"/>
      <c r="N7" s="3" t="inlineStr"/>
      <c r="O7" s="3" t="inlineStr">
        <is>
          <t>unspecified</t>
        </is>
      </c>
      <c r="P7" s="3" t="inlineStr">
        <is>
          <t>delay/order</t>
        </is>
      </c>
      <c r="Q7" s="3" t="inlineStr">
        <is>
          <t>straight-line/unspecified</t>
        </is>
      </c>
      <c r="R7" s="3" t="inlineStr">
        <is>
          <t>timestamp/prior-state</t>
        </is>
      </c>
      <c r="S7" s="3" t="inlineStr">
        <is>
          <t>single</t>
        </is>
      </c>
      <c r="T7" s="3" t="inlineStr">
        <is>
          <t>recurring</t>
        </is>
      </c>
      <c r="U7" s="3" t="inlineStr">
        <is>
          <t>R1, R4</t>
        </is>
      </c>
      <c r="V7" s="3" t="inlineStr"/>
      <c r="W7" s="3" t="inlineStr"/>
      <c r="X7" s="3" t="inlineStr">
        <is>
          <t>R1, R4</t>
        </is>
      </c>
      <c r="Y7" s="3" t="inlineStr">
        <is>
          <t>yes</t>
        </is>
      </c>
      <c r="Z7" s="3" t="inlineStr">
        <is>
          <t>completed_seed</t>
        </is>
      </c>
      <c r="AA7" s="3" t="inlineStr"/>
      <c r="AB7" s="3" t="inlineStr"/>
      <c r="AC7" s="3" t="inlineStr"/>
      <c r="AD7" s="3" t="inlineStr"/>
      <c r="AE7" s="3" t="inlineStr">
        <is>
          <t>REPO_VERIFIED_SOURCE_EXCERPT</t>
        </is>
      </c>
      <c r="AF7" s="3" t="inlineStr">
        <is>
          <t>SERVER_CHECKED_2026-09-13; CORRECTED</t>
        </is>
      </c>
      <c r="AG7" s="3" t="inlineStr">
        <is>
          <t>Stage A selection was a work-unit decision; no statistical sample-size rationale is claimed.</t>
        </is>
      </c>
      <c r="AH7" s="3" t="inlineStr"/>
    </row>
    <row r="8" ht="45" customHeight="1">
      <c r="A8" s="3" t="inlineStr">
        <is>
          <t>E1-007</t>
        </is>
      </c>
      <c r="B8" s="3" t="inlineStr">
        <is>
          <t>seed</t>
        </is>
      </c>
      <c r="C8" s="3" t="inlineStr">
        <is>
          <t>C11</t>
        </is>
      </c>
      <c r="D8" s="3" t="inlineStr">
        <is>
          <t>research</t>
        </is>
      </c>
      <c r="E8" s="3" t="inlineStr">
        <is>
          <t>research example</t>
        </is>
      </c>
      <c r="F8" s="3" t="inlineStr">
        <is>
          <t>AutoTap (ICSE 2019) §VI-A Task 11 and authors' rule explanation</t>
        </is>
      </c>
      <c r="G8" s="5" t="inlineStr">
        <is>
          <t>https://homes.cs.washington.edu/~jessejm/data/ZhangICSE2019.pdf</t>
        </is>
      </c>
      <c r="H8" s="3" t="inlineStr">
        <is>
          <t>§VI-A Task 11, with the authors' rule explanation</t>
        </is>
      </c>
      <c r="I8" s="3" t="inlineStr">
        <is>
          <t>2026-09-12</t>
        </is>
      </c>
      <c r="J8" s="3" t="inlineStr">
        <is>
          <t>"IF Roomba becomes on WHILE the curtain is open, THEN close the curtain; IF curtain becomes open WHILE Roomba is on, THEN turn off Roomba" (property: "Roomba is on should NEVER be active WHILE curtain is open")</t>
        </is>
      </c>
      <c r="K8" s="3" t="inlineStr"/>
      <c r="L8" s="3" t="inlineStr">
        <is>
          <t>IN_SCOPE</t>
        </is>
      </c>
      <c r="M8" s="3" t="inlineStr"/>
      <c r="N8" s="3" t="inlineStr"/>
      <c r="O8" s="3" t="inlineStr">
        <is>
          <t>event/state</t>
        </is>
      </c>
      <c r="P8" s="3" t="inlineStr">
        <is>
          <t>immediate/unspecified</t>
        </is>
      </c>
      <c r="Q8" s="3" t="inlineStr">
        <is>
          <t>sequence/composition; guard/branch</t>
        </is>
      </c>
      <c r="R8" s="3" t="inlineStr">
        <is>
          <t>none/unspecified</t>
        </is>
      </c>
      <c r="S8" s="3" t="inlineStr">
        <is>
          <t>single</t>
        </is>
      </c>
      <c r="T8" s="3" t="inlineStr">
        <is>
          <t>recurring</t>
        </is>
      </c>
      <c r="U8" s="3" t="inlineStr">
        <is>
          <t>R1, B2</t>
        </is>
      </c>
      <c r="V8" s="3" t="inlineStr"/>
      <c r="W8" s="3" t="inlineStr"/>
      <c r="X8" s="3" t="inlineStr">
        <is>
          <t>R1, B2</t>
        </is>
      </c>
      <c r="Y8" s="3" t="inlineStr">
        <is>
          <t>yes</t>
        </is>
      </c>
      <c r="Z8" s="3" t="inlineStr">
        <is>
          <t>completed_seed</t>
        </is>
      </c>
      <c r="AA8" s="3" t="inlineStr"/>
      <c r="AB8" s="3" t="inlineStr"/>
      <c r="AC8" s="3" t="inlineStr"/>
      <c r="AD8" s="3" t="inlineStr"/>
      <c r="AE8" s="3" t="inlineStr">
        <is>
          <t>REPO_VERIFIED_SOURCE_EXCERPT</t>
        </is>
      </c>
      <c r="AF8" s="3" t="inlineStr">
        <is>
          <t>SERVER_CHECKED_2026-09-13; CORRECTED</t>
        </is>
      </c>
      <c r="AG8" s="3" t="inlineStr">
        <is>
          <t>Stage A selection was a work-unit decision; no statistical sample-size rationale is claimed.</t>
        </is>
      </c>
      <c r="AH8" s="3" t="inlineStr"/>
    </row>
    <row r="9" ht="45" customHeight="1">
      <c r="A9" s="3" t="inlineStr">
        <is>
          <t>E1-008</t>
        </is>
      </c>
      <c r="B9" s="3" t="inlineStr">
        <is>
          <t>seed</t>
        </is>
      </c>
      <c r="C9" s="3" t="inlineStr">
        <is>
          <t>C15</t>
        </is>
      </c>
      <c r="D9" s="3" t="inlineStr">
        <is>
          <t>research</t>
        </is>
      </c>
      <c r="E9" s="3" t="inlineStr">
        <is>
          <t>paper-reported participant quote</t>
        </is>
      </c>
      <c r="F9" s="3" t="inlineStr">
        <is>
          <t>Ur et al., Practical Trigger-Action Programming in the Smart Home (CHI 2014), participant quote</t>
        </is>
      </c>
      <c r="G9" s="5" t="inlineStr">
        <is>
          <t>https://www.blaseur.com/papers/TriggerActionCHI14.pdf</t>
        </is>
      </c>
      <c r="H9" s="3" t="inlineStr">
        <is>
          <t>Results, trigger/action structure paragraph ('one participant specified')</t>
        </is>
      </c>
      <c r="I9" s="3" t="inlineStr">
        <is>
          <t>2026-09-12</t>
        </is>
      </c>
      <c r="J9" s="3" t="inlineStr">
        <is>
          <t>When I get up at night, I would want my lights to turn on and off as I enter and exit the room.</t>
        </is>
      </c>
      <c r="K9" s="3" t="inlineStr"/>
      <c r="L9" s="3" t="inlineStr">
        <is>
          <t>IN_SCOPE</t>
        </is>
      </c>
      <c r="M9" s="3" t="inlineStr"/>
      <c r="N9" s="3" t="inlineStr"/>
      <c r="O9" s="3" t="inlineStr">
        <is>
          <t>event/state; clock/calendar</t>
        </is>
      </c>
      <c r="P9" s="3" t="inlineStr">
        <is>
          <t>immediate/unspecified</t>
        </is>
      </c>
      <c r="Q9" s="3" t="inlineStr">
        <is>
          <t>sequence/composition; guard/branch</t>
        </is>
      </c>
      <c r="R9" s="3" t="inlineStr">
        <is>
          <t>none/unspecified</t>
        </is>
      </c>
      <c r="S9" s="3" t="inlineStr">
        <is>
          <t>multiple</t>
        </is>
      </c>
      <c r="T9" s="3" t="inlineStr">
        <is>
          <t>one-shot/unspecified</t>
        </is>
      </c>
      <c r="U9" s="3" t="inlineStr">
        <is>
          <t>R4, R7, R9</t>
        </is>
      </c>
      <c r="V9" s="3" t="inlineStr"/>
      <c r="W9" s="3" t="inlineStr"/>
      <c r="X9" s="3" t="inlineStr">
        <is>
          <t>R4, R7, R9</t>
        </is>
      </c>
      <c r="Y9" s="3" t="inlineStr">
        <is>
          <t>yes</t>
        </is>
      </c>
      <c r="Z9" s="3" t="inlineStr">
        <is>
          <t>completed_seed</t>
        </is>
      </c>
      <c r="AA9" s="3" t="inlineStr"/>
      <c r="AB9" s="3" t="inlineStr"/>
      <c r="AC9" s="3" t="inlineStr"/>
      <c r="AD9" s="3" t="inlineStr"/>
      <c r="AE9" s="3" t="inlineStr">
        <is>
          <t>REPO_VERIFIED_SOURCE_EXCERPT</t>
        </is>
      </c>
      <c r="AF9" s="3" t="inlineStr">
        <is>
          <t>SERVER_CHECKED_2026-09-13; CORRECTED</t>
        </is>
      </c>
      <c r="AG9" s="3" t="inlineStr">
        <is>
          <t>Stage A selection was a work-unit decision; no statistical sample-size rationale is claimed.</t>
        </is>
      </c>
      <c r="AH9" s="3" t="inlineStr"/>
    </row>
    <row r="10" ht="45" customHeight="1">
      <c r="A10" s="3" t="inlineStr">
        <is>
          <t>E1-009</t>
        </is>
      </c>
      <c r="B10" s="3" t="inlineStr">
        <is>
          <t>seed</t>
        </is>
      </c>
      <c r="C10" s="3" t="inlineStr">
        <is>
          <t>C16</t>
        </is>
      </c>
      <c r="D10" s="3" t="inlineStr">
        <is>
          <t>research</t>
        </is>
      </c>
      <c r="E10" s="3" t="inlineStr">
        <is>
          <t>study task</t>
        </is>
      </c>
      <c r="F10" s="3" t="inlineStr">
        <is>
          <t>Ur et al. (CHI 2014) Table 1, Task I</t>
        </is>
      </c>
      <c r="G10" s="5" t="inlineStr">
        <is>
          <t>https://www.blaseur.com/papers/TriggerActionCHI14.pdf</t>
        </is>
      </c>
      <c r="H10" s="3" t="inlineStr">
        <is>
          <t>Table 1, Task I</t>
        </is>
      </c>
      <c r="I10" s="3" t="inlineStr">
        <is>
          <t>2026-09-12</t>
        </is>
      </c>
      <c r="J10" s="3" t="inlineStr">
        <is>
          <t>If it is 10:00pm and my bedroom door is closed and the lights are off, turn the television off.</t>
        </is>
      </c>
      <c r="K10" s="3" t="inlineStr"/>
      <c r="L10" s="3" t="inlineStr">
        <is>
          <t>IN_SCOPE</t>
        </is>
      </c>
      <c r="M10" s="3" t="inlineStr"/>
      <c r="N10" s="3" t="inlineStr"/>
      <c r="O10" s="3" t="inlineStr">
        <is>
          <t>event/state; clock/calendar</t>
        </is>
      </c>
      <c r="P10" s="3" t="inlineStr">
        <is>
          <t>immediate/unspecified</t>
        </is>
      </c>
      <c r="Q10" s="3" t="inlineStr">
        <is>
          <t>sequence/composition; guard/branch</t>
        </is>
      </c>
      <c r="R10" s="3" t="inlineStr">
        <is>
          <t>none/unspecified</t>
        </is>
      </c>
      <c r="S10" s="3" t="inlineStr">
        <is>
          <t>multiple</t>
        </is>
      </c>
      <c r="T10" s="3" t="inlineStr">
        <is>
          <t>one-shot/unspecified</t>
        </is>
      </c>
      <c r="U10" s="3" t="inlineStr">
        <is>
          <t>R9, R6</t>
        </is>
      </c>
      <c r="V10" s="3" t="inlineStr"/>
      <c r="W10" s="3" t="inlineStr"/>
      <c r="X10" s="3" t="inlineStr">
        <is>
          <t>R9, R6</t>
        </is>
      </c>
      <c r="Y10" s="3" t="inlineStr">
        <is>
          <t>yes</t>
        </is>
      </c>
      <c r="Z10" s="3" t="inlineStr">
        <is>
          <t>completed_seed</t>
        </is>
      </c>
      <c r="AA10" s="3" t="inlineStr"/>
      <c r="AB10" s="3" t="inlineStr"/>
      <c r="AC10" s="3" t="inlineStr"/>
      <c r="AD10" s="3" t="inlineStr"/>
      <c r="AE10" s="3" t="inlineStr">
        <is>
          <t>REPO_VERIFIED_SOURCE_EXCERPT</t>
        </is>
      </c>
      <c r="AF10" s="3" t="inlineStr">
        <is>
          <t>SERVER_CHECKED_2026-09-13; CORRECTED</t>
        </is>
      </c>
      <c r="AG10" s="3" t="inlineStr">
        <is>
          <t>Stage A selection was a work-unit decision; no statistical sample-size rationale is claimed.</t>
        </is>
      </c>
      <c r="AH10" s="3" t="inlineStr"/>
    </row>
    <row r="11" ht="45" customHeight="1">
      <c r="A11" s="3" t="inlineStr">
        <is>
          <t>E1-010</t>
        </is>
      </c>
      <c r="B11" s="3" t="inlineStr">
        <is>
          <t>seed</t>
        </is>
      </c>
      <c r="C11" s="3" t="inlineStr">
        <is>
          <t>C18</t>
        </is>
      </c>
      <c r="D11" s="3" t="inlineStr">
        <is>
          <t>research</t>
        </is>
      </c>
      <c r="E11" s="3" t="inlineStr">
        <is>
          <t>study task</t>
        </is>
      </c>
      <c r="F11" s="3" t="inlineStr">
        <is>
          <t>Huang &amp; Cakmak, Supporting Mental Model Accuracy in TAP (UbiComp 2015), Table 5 Q3</t>
        </is>
      </c>
      <c r="G11" s="5" t="inlineStr">
        <is>
          <t>https://homes.cs.washington.edu/~mcakmak/pdfs/2015/huang2015ubicomp.pdf</t>
        </is>
      </c>
      <c r="H11" s="3" t="inlineStr">
        <is>
          <t>Table 5, Q3</t>
        </is>
      </c>
      <c r="I11" s="3" t="inlineStr">
        <is>
          <t>2026-09-12</t>
        </is>
      </c>
      <c r="J11" s="3" t="inlineStr">
        <is>
          <t>If the doorbell rings and the time is 3:00 pm, then unlock the front door for 10 seconds</t>
        </is>
      </c>
      <c r="K11" s="3" t="inlineStr"/>
      <c r="L11" s="3" t="inlineStr">
        <is>
          <t>IN_SCOPE</t>
        </is>
      </c>
      <c r="M11" s="3" t="inlineStr"/>
      <c r="N11" s="3" t="inlineStr"/>
      <c r="O11" s="3" t="inlineStr">
        <is>
          <t>event/state; clock/calendar</t>
        </is>
      </c>
      <c r="P11" s="3" t="inlineStr">
        <is>
          <t>duration/window</t>
        </is>
      </c>
      <c r="Q11" s="3" t="inlineStr">
        <is>
          <t>sequence/composition; guard/branch</t>
        </is>
      </c>
      <c r="R11" s="3" t="inlineStr">
        <is>
          <t>timestamp/prior-state</t>
        </is>
      </c>
      <c r="S11" s="3" t="inlineStr">
        <is>
          <t>multiple</t>
        </is>
      </c>
      <c r="T11" s="3" t="inlineStr">
        <is>
          <t>one-shot/unspecified</t>
        </is>
      </c>
      <c r="U11" s="3" t="inlineStr">
        <is>
          <t>R1, R9, R2</t>
        </is>
      </c>
      <c r="V11" s="3" t="inlineStr"/>
      <c r="W11" s="3" t="inlineStr"/>
      <c r="X11" s="3" t="inlineStr">
        <is>
          <t>R1, R9, R2</t>
        </is>
      </c>
      <c r="Y11" s="3" t="inlineStr">
        <is>
          <t>yes</t>
        </is>
      </c>
      <c r="Z11" s="3" t="inlineStr">
        <is>
          <t>completed_seed</t>
        </is>
      </c>
      <c r="AA11" s="3" t="inlineStr"/>
      <c r="AB11" s="3" t="inlineStr"/>
      <c r="AC11" s="3" t="inlineStr"/>
      <c r="AD11" s="3" t="inlineStr"/>
      <c r="AE11" s="3" t="inlineStr">
        <is>
          <t>REPO_VERIFIED_SOURCE_EXCERPT</t>
        </is>
      </c>
      <c r="AF11" s="3" t="inlineStr">
        <is>
          <t>SERVER_CHECKED_2026-09-13; CORRECTED</t>
        </is>
      </c>
      <c r="AG11" s="3" t="inlineStr">
        <is>
          <t>Stage A selection was a work-unit decision; no statistical sample-size rationale is claimed.</t>
        </is>
      </c>
      <c r="AH11" s="3" t="inlineStr"/>
    </row>
    <row r="12" ht="45" customHeight="1">
      <c r="A12" s="3" t="inlineStr">
        <is>
          <t>E1-011</t>
        </is>
      </c>
      <c r="B12" s="3" t="inlineStr">
        <is>
          <t>seed</t>
        </is>
      </c>
      <c r="C12" s="3" t="inlineStr">
        <is>
          <t>C19</t>
        </is>
      </c>
      <c r="D12" s="3" t="inlineStr">
        <is>
          <t>research</t>
        </is>
      </c>
      <c r="E12" s="3" t="inlineStr">
        <is>
          <t>study task</t>
        </is>
      </c>
      <c r="F12" s="3" t="inlineStr">
        <is>
          <t>Huang &amp; Cakmak (UbiComp 2015), Table 4 P3</t>
        </is>
      </c>
      <c r="G12" s="5" t="inlineStr">
        <is>
          <t>https://homes.cs.washington.edu/~mcakmak/pdfs/2015/huang2015ubicomp.pdf</t>
        </is>
      </c>
      <c r="H12" s="3" t="inlineStr">
        <is>
          <t>Table 4, P3</t>
        </is>
      </c>
      <c r="I12" s="3" t="inlineStr">
        <is>
          <t>2026-09-12</t>
        </is>
      </c>
      <c r="J12" s="3" t="inlineStr">
        <is>
          <t>Your work starts at 9:00 am. On days when you get to work on time, you want to send an email to yourself saying "I got to work on time!"</t>
        </is>
      </c>
      <c r="K12" s="3" t="inlineStr"/>
      <c r="L12" s="3" t="inlineStr">
        <is>
          <t>IN_SCOPE</t>
        </is>
      </c>
      <c r="M12" s="3" t="inlineStr"/>
      <c r="N12" s="3" t="inlineStr"/>
      <c r="O12" s="3" t="inlineStr">
        <is>
          <t>event/state; clock/calendar</t>
        </is>
      </c>
      <c r="P12" s="3" t="inlineStr">
        <is>
          <t>immediate/unspecified</t>
        </is>
      </c>
      <c r="Q12" s="3" t="inlineStr">
        <is>
          <t>guard/branch</t>
        </is>
      </c>
      <c r="R12" s="3" t="inlineStr">
        <is>
          <t>none/unspecified</t>
        </is>
      </c>
      <c r="S12" s="3" t="inlineStr">
        <is>
          <t>single</t>
        </is>
      </c>
      <c r="T12" s="3" t="inlineStr">
        <is>
          <t>one-shot/unspecified</t>
        </is>
      </c>
      <c r="U12" s="3" t="inlineStr">
        <is>
          <t>R10, R9</t>
        </is>
      </c>
      <c r="V12" s="3" t="inlineStr"/>
      <c r="W12" s="3" t="inlineStr"/>
      <c r="X12" s="3" t="inlineStr">
        <is>
          <t>R10, R9</t>
        </is>
      </c>
      <c r="Y12" s="3" t="inlineStr">
        <is>
          <t>yes</t>
        </is>
      </c>
      <c r="Z12" s="3" t="inlineStr">
        <is>
          <t>completed_seed</t>
        </is>
      </c>
      <c r="AA12" s="3" t="inlineStr"/>
      <c r="AB12" s="3" t="inlineStr"/>
      <c r="AC12" s="3" t="inlineStr"/>
      <c r="AD12" s="3" t="inlineStr"/>
      <c r="AE12" s="3" t="inlineStr">
        <is>
          <t>REPO_VERIFIED_SOURCE_EXCERPT</t>
        </is>
      </c>
      <c r="AF12" s="3" t="inlineStr">
        <is>
          <t>SERVER_CHECKED_2026-09-13; CORRECTED</t>
        </is>
      </c>
      <c r="AG12" s="3" t="inlineStr">
        <is>
          <t>Stage A selection was a work-unit decision; no statistical sample-size rationale is claimed.</t>
        </is>
      </c>
      <c r="AH12" s="3" t="inlineStr"/>
    </row>
    <row r="13" ht="45" customHeight="1">
      <c r="A13" s="3" t="inlineStr">
        <is>
          <t>E1-012</t>
        </is>
      </c>
      <c r="B13" s="3" t="inlineStr">
        <is>
          <t>seed</t>
        </is>
      </c>
      <c r="C13" s="3" t="inlineStr">
        <is>
          <t>C20-O</t>
        </is>
      </c>
      <c r="D13" s="3" t="inlineStr">
        <is>
          <t>research</t>
        </is>
      </c>
      <c r="E13" s="3" t="inlineStr">
        <is>
          <t>study stimulus</t>
        </is>
      </c>
      <c r="F13" s="3" t="inlineStr">
        <is>
          <t>Brackenbury et al., How Users Interpret Bugs in TAP (CHI 2019), Table 1</t>
        </is>
      </c>
      <c r="G13" s="5" t="inlineStr">
        <is>
          <t>https://par.nsf.gov/biblio/10106413</t>
        </is>
      </c>
      <c r="H13" s="3" t="inlineStr">
        <is>
          <t>Table 1, Event-Event paradigm, second example (full text: https://par.nsf.gov/servlets/purl/10106413)</t>
        </is>
      </c>
      <c r="I13" s="3" t="inlineStr">
        <is>
          <t>2026-09-12</t>
        </is>
      </c>
      <c r="J13" s="3" t="inlineStr">
        <is>
          <t>IF Sally enters the bedroom AND AFTERWARDS the sun sets WITHIN 2 hours THEN turn on the bedroom lights.</t>
        </is>
      </c>
      <c r="K13" s="3" t="inlineStr"/>
      <c r="L13" s="3" t="inlineStr">
        <is>
          <t>IN_SCOPE</t>
        </is>
      </c>
      <c r="M13" s="3" t="inlineStr"/>
      <c r="N13" s="3" t="inlineStr"/>
      <c r="O13" s="3" t="inlineStr">
        <is>
          <t>event/state</t>
        </is>
      </c>
      <c r="P13" s="3" t="inlineStr">
        <is>
          <t>duration/window</t>
        </is>
      </c>
      <c r="Q13" s="3" t="inlineStr">
        <is>
          <t>sequence/composition; guard/branch</t>
        </is>
      </c>
      <c r="R13" s="3" t="inlineStr">
        <is>
          <t>timestamp/prior-state</t>
        </is>
      </c>
      <c r="S13" s="3" t="inlineStr">
        <is>
          <t>multiple</t>
        </is>
      </c>
      <c r="T13" s="3" t="inlineStr">
        <is>
          <t>one-shot/unspecified</t>
        </is>
      </c>
      <c r="U13" s="3" t="inlineStr">
        <is>
          <t>R1, R2, B1</t>
        </is>
      </c>
      <c r="V13" s="3" t="inlineStr"/>
      <c r="W13" s="3" t="inlineStr"/>
      <c r="X13" s="3" t="inlineStr">
        <is>
          <t>R1, R2, B1</t>
        </is>
      </c>
      <c r="Y13" s="3" t="inlineStr">
        <is>
          <t>yes</t>
        </is>
      </c>
      <c r="Z13" s="3" t="inlineStr">
        <is>
          <t>completed_seed</t>
        </is>
      </c>
      <c r="AA13" s="3" t="inlineStr"/>
      <c r="AB13" s="3" t="inlineStr"/>
      <c r="AC13" s="3" t="inlineStr"/>
      <c r="AD13" s="3" t="inlineStr"/>
      <c r="AE13" s="3" t="inlineStr">
        <is>
          <t>REPO_VERIFIED_SOURCE_EXCERPT</t>
        </is>
      </c>
      <c r="AF13" s="3" t="inlineStr">
        <is>
          <t>SERVER_CHECKED_2026-09-13; CORRECTED</t>
        </is>
      </c>
      <c r="AG13" s="3" t="inlineStr">
        <is>
          <t>Stage A selection was a work-unit decision; no statistical sample-size rationale is claimed.</t>
        </is>
      </c>
      <c r="AH13" s="3" t="inlineStr"/>
    </row>
    <row r="14" ht="45" customHeight="1">
      <c r="A14" s="3" t="inlineStr">
        <is>
          <t>E1-092</t>
        </is>
      </c>
      <c r="B14" s="3" t="inlineStr">
        <is>
          <t>new</t>
        </is>
      </c>
      <c r="C14" s="3" t="inlineStr"/>
      <c r="D14" s="3" t="inlineStr">
        <is>
          <t>community</t>
        </is>
      </c>
      <c r="E14" s="3" t="inlineStr">
        <is>
          <t>user-authored naturalistic</t>
        </is>
      </c>
      <c r="F14" s="3" t="inlineStr">
        <is>
          <t>Home Assistant Community thread 955561: Running groups of actions in Parallel</t>
        </is>
      </c>
      <c r="G14" s="5" t="inlineStr">
        <is>
          <t>https://community.home-assistant.io/t/running-groups-of-actions-in-parallel/955561</t>
        </is>
      </c>
      <c r="H14" s="3" t="inlineStr">
        <is>
          <t>opening post (created 2025-11-26 UTC)</t>
        </is>
      </c>
      <c r="I14" s="3" t="inlineStr">
        <is>
          <t>2026-09-13</t>
        </is>
      </c>
      <c r="J14" s="3" t="inlineStr">
        <is>
          <t>Have Alexas tell tasks, news, and alarm settings while Home Assistant turns off lights, locks doors, and sets alarms; continue the house shutdown if Alexa communication fails.</t>
        </is>
      </c>
      <c r="K14" s="3" t="inlineStr"/>
      <c r="L14" s="3" t="inlineStr">
        <is>
          <t>IN_SCOPE</t>
        </is>
      </c>
      <c r="M14" s="3" t="inlineStr"/>
      <c r="N14" s="3" t="inlineStr"/>
      <c r="O14" s="3" t="inlineStr">
        <is>
          <t>event/state</t>
        </is>
      </c>
      <c r="P14" s="3" t="inlineStr">
        <is>
          <t>immediate/unspecified</t>
        </is>
      </c>
      <c r="Q14" s="3" t="inlineStr">
        <is>
          <t>sequence/composition; guard/branch</t>
        </is>
      </c>
      <c r="R14" s="3" t="inlineStr">
        <is>
          <t>none/unspecified</t>
        </is>
      </c>
      <c r="S14" s="3" t="inlineStr">
        <is>
          <t>multiple</t>
        </is>
      </c>
      <c r="T14" s="3" t="inlineStr">
        <is>
          <t>one-shot/unspecified</t>
        </is>
      </c>
      <c r="U14" s="3" t="inlineStr">
        <is>
          <t>R1, R6, B2</t>
        </is>
      </c>
      <c r="V14" s="3" t="inlineStr"/>
      <c r="W14" s="3" t="inlineStr"/>
      <c r="X14" s="3" t="inlineStr">
        <is>
          <t>R1, R6, B2</t>
        </is>
      </c>
      <c r="Y14" s="3" t="inlineStr">
        <is>
          <t>no</t>
        </is>
      </c>
      <c r="Z14" s="3" t="inlineStr">
        <is>
          <t>proposed_depth_addition</t>
        </is>
      </c>
      <c r="AA14" s="3" t="inlineStr">
        <is>
          <t>1</t>
        </is>
      </c>
      <c r="AB14" s="3" t="inlineStr">
        <is>
          <t>Primary true-independent-parallel-flow boundary probe.</t>
        </is>
      </c>
      <c r="AC14" s="3" t="inlineStr"/>
      <c r="AD14" s="3" t="inlineStr"/>
      <c r="AE14" s="3" t="inlineStr">
        <is>
          <t>RESEARCHER_NORMALIZATION_OF_STATED_BEHAVIOR</t>
        </is>
      </c>
      <c r="AF14" s="3" t="inlineStr">
        <is>
          <t>SERVER_CHECKED_2026-09-13; CORRECTED</t>
        </is>
      </c>
      <c r="AG14" s="3" t="inlineStr"/>
      <c r="AH14" s="3" t="inlineStr">
        <is>
          <t>parallel-flow</t>
        </is>
      </c>
    </row>
    <row r="15" ht="45" customHeight="1">
      <c r="A15" s="3" t="inlineStr">
        <is>
          <t>E1-095</t>
        </is>
      </c>
      <c r="B15" s="3" t="inlineStr">
        <is>
          <t>new</t>
        </is>
      </c>
      <c r="C15" s="3" t="inlineStr"/>
      <c r="D15" s="3" t="inlineStr">
        <is>
          <t>community</t>
        </is>
      </c>
      <c r="E15" s="3" t="inlineStr">
        <is>
          <t>user-authored naturalistic</t>
        </is>
      </c>
      <c r="F15" s="3" t="inlineStr">
        <is>
          <t>Home Assistant Community thread 654561: Getting an average reading of a sensor during certain hours</t>
        </is>
      </c>
      <c r="G15" s="5" t="inlineStr">
        <is>
          <t>https://community.home-assistant.io/t/getting-an-average-reading-of-a-sensor-during-certain-hours/654561</t>
        </is>
      </c>
      <c r="H15" s="3" t="inlineStr">
        <is>
          <t>opening post (created 2023-12-12 UTC)</t>
        </is>
      </c>
      <c r="I15" s="3" t="inlineStr">
        <is>
          <t>2026-09-13</t>
        </is>
      </c>
      <c r="J15" s="3" t="inlineStr">
        <is>
          <t>Calculate the average pH and chlorine levels between 10:00 and 15:00 and report those readings daily.</t>
        </is>
      </c>
      <c r="K15" s="3" t="inlineStr"/>
      <c r="L15" s="3" t="inlineStr">
        <is>
          <t>IN_SCOPE</t>
        </is>
      </c>
      <c r="M15" s="3" t="inlineStr">
        <is>
          <t>The source leaves a behavior-defining choice unresolved.</t>
        </is>
      </c>
      <c r="N15" s="3" t="inlineStr"/>
      <c r="O15" s="3" t="inlineStr">
        <is>
          <t>clock/calendar</t>
        </is>
      </c>
      <c r="P15" s="3" t="inlineStr">
        <is>
          <t>periodic/count</t>
        </is>
      </c>
      <c r="Q15" s="3" t="inlineStr">
        <is>
          <t>sequence/composition</t>
        </is>
      </c>
      <c r="R15" s="3" t="inlineStr">
        <is>
          <t>count/aggregate</t>
        </is>
      </c>
      <c r="S15" s="3" t="inlineStr">
        <is>
          <t>multiple</t>
        </is>
      </c>
      <c r="T15" s="3" t="inlineStr">
        <is>
          <t>recurring</t>
        </is>
      </c>
      <c r="U15" s="3" t="inlineStr">
        <is>
          <t>R5, R9, L-ACCUM</t>
        </is>
      </c>
      <c r="V15" s="3" t="inlineStr"/>
      <c r="W15" s="3" t="inlineStr"/>
      <c r="X15" s="3" t="inlineStr">
        <is>
          <t>R5, R8, R9</t>
        </is>
      </c>
      <c r="Y15" s="3" t="inlineStr">
        <is>
          <t>no</t>
        </is>
      </c>
      <c r="Z15" s="3" t="inlineStr">
        <is>
          <t>proposed_depth_addition</t>
        </is>
      </c>
      <c r="AA15" s="3" t="inlineStr">
        <is>
          <t>2</t>
        </is>
      </c>
      <c r="AB15" s="3" t="inlineStr">
        <is>
          <t>Primary internal accumulation/average boundary probe; semantics must be fixed first.</t>
        </is>
      </c>
      <c r="AC15" s="3" t="inlineStr"/>
      <c r="AD15" s="3" t="inlineStr"/>
      <c r="AE15" s="3" t="inlineStr">
        <is>
          <t>RESEARCHER_NORMALIZATION_OF_STATED_BEHAVIOR</t>
        </is>
      </c>
      <c r="AF15" s="3" t="inlineStr">
        <is>
          <t>SERVER_CHECKED_2026-09-13; CORRECTED</t>
        </is>
      </c>
      <c r="AG15" s="3" t="inlineStr">
        <is>
          <t>Author interpretation: read pH and chlorine at 10:00, 11:00, 12:00, 13:00 and 14:00 (five samples) and report each mean at 15:00.</t>
        </is>
      </c>
      <c r="AH15" s="3" t="inlineStr"/>
    </row>
    <row r="16" ht="45" customHeight="1">
      <c r="A16" s="3" t="inlineStr">
        <is>
          <t>E1-086</t>
        </is>
      </c>
      <c r="B16" s="3" t="inlineStr">
        <is>
          <t>new</t>
        </is>
      </c>
      <c r="C16" s="3" t="inlineStr"/>
      <c r="D16" s="3" t="inlineStr">
        <is>
          <t>community</t>
        </is>
      </c>
      <c r="E16" s="3" t="inlineStr">
        <is>
          <t>user-authored naturalistic</t>
        </is>
      </c>
      <c r="F16" s="3" t="inlineStr">
        <is>
          <t>Home Assistant Community thread 878961: Stop an automation mid-run via an input boolean?</t>
        </is>
      </c>
      <c r="G16" s="5" t="inlineStr">
        <is>
          <t>https://community.home-assistant.io/t/stop-an-automation-mid-run-via-an-input-boolean/878961</t>
        </is>
      </c>
      <c r="H16" s="3" t="inlineStr">
        <is>
          <t>opening post (created 2025-04-17 UTC)</t>
        </is>
      </c>
      <c r="I16" s="3" t="inlineStr">
        <is>
          <t>2026-09-13</t>
        </is>
      </c>
      <c r="J16" s="3" t="inlineStr">
        <is>
          <t>Run sprinkler zone 1 for 10 minutes, wait 30 seconds, then zone 2 for 10 minutes; stop the entire automation mid-run if the input boolean is turned off.</t>
        </is>
      </c>
      <c r="K16" s="3" t="inlineStr"/>
      <c r="L16" s="3" t="inlineStr">
        <is>
          <t>IN_SCOPE</t>
        </is>
      </c>
      <c r="M16" s="3" t="inlineStr"/>
      <c r="N16" s="3" t="inlineStr"/>
      <c r="O16" s="3" t="inlineStr">
        <is>
          <t>event/state</t>
        </is>
      </c>
      <c r="P16" s="3" t="inlineStr">
        <is>
          <t>duration/window</t>
        </is>
      </c>
      <c r="Q16" s="3" t="inlineStr">
        <is>
          <t>sequence/composition; guard/branch</t>
        </is>
      </c>
      <c r="R16" s="3" t="inlineStr">
        <is>
          <t>timestamp/prior-state</t>
        </is>
      </c>
      <c r="S16" s="3" t="inlineStr">
        <is>
          <t>single</t>
        </is>
      </c>
      <c r="T16" s="3" t="inlineStr">
        <is>
          <t>one-shot/unspecified</t>
        </is>
      </c>
      <c r="U16" s="3" t="inlineStr">
        <is>
          <t>R1, R6, B1</t>
        </is>
      </c>
      <c r="V16" s="3" t="inlineStr"/>
      <c r="W16" s="3" t="inlineStr"/>
      <c r="X16" s="3" t="inlineStr">
        <is>
          <t>R1, R6, B1</t>
        </is>
      </c>
      <c r="Y16" s="3" t="inlineStr">
        <is>
          <t>no</t>
        </is>
      </c>
      <c r="Z16" s="3" t="inlineStr">
        <is>
          <t>proposed_depth_addition</t>
        </is>
      </c>
      <c r="AA16" s="3" t="inlineStr">
        <is>
          <t>3</t>
        </is>
      </c>
      <c r="AB16" s="3" t="inlineStr">
        <is>
          <t>Naturalistic cancelable sequential sprinkler run.</t>
        </is>
      </c>
      <c r="AC16" s="3" t="inlineStr"/>
      <c r="AD16" s="3" t="inlineStr"/>
      <c r="AE16" s="3" t="inlineStr">
        <is>
          <t>RESEARCHER_NORMALIZATION_OF_STATED_BEHAVIOR</t>
        </is>
      </c>
      <c r="AF16" s="3" t="inlineStr">
        <is>
          <t>SERVER_CHECKED_2026-09-13; CORRECTED</t>
        </is>
      </c>
      <c r="AG16" s="3" t="inlineStr"/>
      <c r="AH16" s="3" t="inlineStr"/>
    </row>
    <row r="17" ht="45" customHeight="1">
      <c r="A17" s="3" t="inlineStr">
        <is>
          <t>E1-099</t>
        </is>
      </c>
      <c r="B17" s="3" t="inlineStr">
        <is>
          <t>new</t>
        </is>
      </c>
      <c r="C17" s="3" t="inlineStr"/>
      <c r="D17" s="3" t="inlineStr">
        <is>
          <t>community</t>
        </is>
      </c>
      <c r="E17" s="3" t="inlineStr">
        <is>
          <t>user-authored naturalistic</t>
        </is>
      </c>
      <c r="F17" s="3" t="inlineStr">
        <is>
          <t>Home Assistant Community thread 729908: Need help with light automation</t>
        </is>
      </c>
      <c r="G17" s="5" t="inlineStr">
        <is>
          <t>https://community.home-assistant.io/t/need-help-with-light-automation/729908</t>
        </is>
      </c>
      <c r="H17" s="3" t="inlineStr">
        <is>
          <t>opening post (created 2024-05-16 UTC)</t>
        </is>
      </c>
      <c r="I17" s="3" t="inlineStr">
        <is>
          <t>2026-09-13</t>
        </is>
      </c>
      <c r="J17" s="3" t="inlineStr">
        <is>
          <t>A manually switched-on light stays on at least 5 minutes; each motion event extends the on time by 2 minutes; the light is turned off only when no motion has been detected for 2 minutes.</t>
        </is>
      </c>
      <c r="K17" s="3" t="inlineStr"/>
      <c r="L17" s="3" t="inlineStr">
        <is>
          <t>IN_SCOPE</t>
        </is>
      </c>
      <c r="M17" s="3" t="inlineStr"/>
      <c r="N17" s="3" t="inlineStr"/>
      <c r="O17" s="3" t="inlineStr">
        <is>
          <t>manual</t>
        </is>
      </c>
      <c r="P17" s="3" t="inlineStr">
        <is>
          <t>duration/window</t>
        </is>
      </c>
      <c r="Q17" s="3" t="inlineStr">
        <is>
          <t>straight-line/unspecified</t>
        </is>
      </c>
      <c r="R17" s="3" t="inlineStr">
        <is>
          <t>none/unspecified</t>
        </is>
      </c>
      <c r="S17" s="3" t="inlineStr">
        <is>
          <t>single</t>
        </is>
      </c>
      <c r="T17" s="3" t="inlineStr">
        <is>
          <t>one-shot/unspecified</t>
        </is>
      </c>
      <c r="U17" s="3" t="inlineStr">
        <is>
          <t>R3</t>
        </is>
      </c>
      <c r="V17" s="3" t="inlineStr"/>
      <c r="W17" s="3" t="inlineStr"/>
      <c r="X17" s="3" t="inlineStr">
        <is>
          <t>R3, R10</t>
        </is>
      </c>
      <c r="Y17" s="3" t="inlineStr">
        <is>
          <t>no</t>
        </is>
      </c>
      <c r="Z17" s="3" t="inlineStr">
        <is>
          <t>proposed_depth_addition</t>
        </is>
      </c>
      <c r="AA17" s="3" t="inlineStr">
        <is>
          <t>4</t>
        </is>
      </c>
      <c r="AB17" s="3" t="inlineStr">
        <is>
          <t>Manual minimum-on interval with event-driven deadline extension.</t>
        </is>
      </c>
      <c r="AC17" s="3" t="inlineStr"/>
      <c r="AD17" s="3" t="inlineStr"/>
      <c r="AE17" s="3" t="inlineStr">
        <is>
          <t>RESEARCHER_NORMALIZATION_OF_STATED_BEHAVIOR</t>
        </is>
      </c>
      <c r="AF17" s="3" t="inlineStr">
        <is>
          <t>SERVER_CHECKED_2026-09-13; CORRECTED</t>
        </is>
      </c>
      <c r="AG17" s="3" t="inlineStr"/>
      <c r="AH17" s="3" t="inlineStr"/>
    </row>
    <row r="18" ht="45" customHeight="1">
      <c r="A18" s="3" t="inlineStr">
        <is>
          <t>E1-028</t>
        </is>
      </c>
      <c r="B18" s="3" t="inlineStr">
        <is>
          <t>new</t>
        </is>
      </c>
      <c r="C18" s="3" t="inlineStr"/>
      <c r="D18" s="3" t="inlineStr">
        <is>
          <t>elicited</t>
        </is>
      </c>
      <c r="E18" s="3" t="inlineStr">
        <is>
          <t>user-study elicited</t>
        </is>
      </c>
      <c r="F18" s="3" t="inlineStr">
        <is>
          <t>AutoTap ICSE 2019 — User Study 1 public data</t>
        </is>
      </c>
      <c r="G18" s="5" t="inlineStr">
        <is>
          <t>https://github.com/zlfben/autotap/blob/master/data/Data%20-%20User%20Study%201.xlsx</t>
        </is>
      </c>
      <c r="H18" s="3" t="inlineStr">
        <is>
          <t>Result sheet, Excel row 26, column AR (header 2_Q25, statement 2)</t>
        </is>
      </c>
      <c r="I18" s="3" t="inlineStr">
        <is>
          <t>2026-09-13</t>
        </is>
      </c>
      <c r="J18" s="3" t="inlineStr">
        <is>
          <t>My smart pet feeder should never allow to dispense more than 2 bowls of food per every 4 hours.</t>
        </is>
      </c>
      <c r="K18" s="3" t="inlineStr">
        <is>
          <t>ReleaseData=Yes; saw_examples=yes; exception_response=none</t>
        </is>
      </c>
      <c r="L18" s="3" t="inlineStr">
        <is>
          <t>IN_SCOPE</t>
        </is>
      </c>
      <c r="M18" s="3" t="inlineStr"/>
      <c r="N18" s="3" t="inlineStr"/>
      <c r="O18" s="3" t="inlineStr">
        <is>
          <t>unspecified</t>
        </is>
      </c>
      <c r="P18" s="3" t="inlineStr">
        <is>
          <t>duration/window; periodic/count</t>
        </is>
      </c>
      <c r="Q18" s="3" t="inlineStr">
        <is>
          <t>repeat</t>
        </is>
      </c>
      <c r="R18" s="3" t="inlineStr">
        <is>
          <t>count/aggregate</t>
        </is>
      </c>
      <c r="S18" s="3" t="inlineStr">
        <is>
          <t>single</t>
        </is>
      </c>
      <c r="T18" s="3" t="inlineStr">
        <is>
          <t>recurring</t>
        </is>
      </c>
      <c r="U18" s="3" t="inlineStr">
        <is>
          <t>R3</t>
        </is>
      </c>
      <c r="V18" s="3" t="inlineStr"/>
      <c r="W18" s="3" t="inlineStr"/>
      <c r="X18" s="3" t="inlineStr">
        <is>
          <t>R3</t>
        </is>
      </c>
      <c r="Y18" s="3" t="inlineStr">
        <is>
          <t>no</t>
        </is>
      </c>
      <c r="Z18" s="3" t="inlineStr">
        <is>
          <t>proposed_depth_addition</t>
        </is>
      </c>
      <c r="AA18" s="3" t="inlineStr">
        <is>
          <t>5</t>
        </is>
      </c>
      <c r="AB18" s="3" t="inlineStr">
        <is>
          <t>Elicited rate/count constraint; tests backend history/count dependence.</t>
        </is>
      </c>
      <c r="AC18" s="3" t="inlineStr"/>
      <c r="AD18" s="3" t="inlineStr"/>
      <c r="AE18" s="3" t="inlineStr">
        <is>
          <t>VERBATIM_PUBLIC_STUDY_DATA</t>
        </is>
      </c>
      <c r="AF18" s="3" t="inlineStr">
        <is>
          <t>SERVER_CHECKED_2026-09-13; CORRECTED</t>
        </is>
      </c>
      <c r="AG18" s="3" t="inlineStr">
        <is>
          <t>Original spelling preserved.</t>
        </is>
      </c>
      <c r="AH18" s="3" t="inlineStr"/>
    </row>
    <row r="19" ht="45" customHeight="1">
      <c r="A19" s="3" t="inlineStr">
        <is>
          <t>E1-034</t>
        </is>
      </c>
      <c r="B19" s="3" t="inlineStr">
        <is>
          <t>new</t>
        </is>
      </c>
      <c r="C19" s="3" t="inlineStr"/>
      <c r="D19" s="3" t="inlineStr">
        <is>
          <t>elicited</t>
        </is>
      </c>
      <c r="E19" s="3" t="inlineStr">
        <is>
          <t>user-study elicited</t>
        </is>
      </c>
      <c r="F19" s="3" t="inlineStr">
        <is>
          <t>AutoTap ICSE 2019 — User Study 1 public data</t>
        </is>
      </c>
      <c r="G19" s="5" t="inlineStr">
        <is>
          <t>https://github.com/zlfben/autotap/blob/master/data/Data%20-%20User%20Study%201.xlsx</t>
        </is>
      </c>
      <c r="H19" s="3" t="inlineStr">
        <is>
          <t>Result sheet, Excel row 60, column CA (header 9_Q25, statement 9)</t>
        </is>
      </c>
      <c r="I19" s="3" t="inlineStr">
        <is>
          <t>2026-09-13</t>
        </is>
      </c>
      <c r="J19" s="3" t="inlineStr">
        <is>
          <t>My smart oven should never be on for than 4 hours, maximum without alerting if more time is needed, and shutting off if not responded to.</t>
        </is>
      </c>
      <c r="K19" s="3" t="inlineStr">
        <is>
          <t>ReleaseData=Yes; saw_examples=yes; exception_response=none</t>
        </is>
      </c>
      <c r="L19" s="3" t="inlineStr">
        <is>
          <t>IN_SCOPE</t>
        </is>
      </c>
      <c r="M19" s="3" t="inlineStr"/>
      <c r="N19" s="3" t="inlineStr"/>
      <c r="O19" s="3" t="inlineStr">
        <is>
          <t>event/state</t>
        </is>
      </c>
      <c r="P19" s="3" t="inlineStr">
        <is>
          <t>duration/window</t>
        </is>
      </c>
      <c r="Q19" s="3" t="inlineStr">
        <is>
          <t>sequence/composition; guard/branch</t>
        </is>
      </c>
      <c r="R19" s="3" t="inlineStr">
        <is>
          <t>timestamp/prior-state</t>
        </is>
      </c>
      <c r="S19" s="3" t="inlineStr">
        <is>
          <t>multiple</t>
        </is>
      </c>
      <c r="T19" s="3" t="inlineStr">
        <is>
          <t>recurring</t>
        </is>
      </c>
      <c r="U19" s="3" t="inlineStr">
        <is>
          <t>R1</t>
        </is>
      </c>
      <c r="V19" s="3" t="inlineStr"/>
      <c r="W19" s="3" t="inlineStr"/>
      <c r="X19" s="3" t="inlineStr">
        <is>
          <t>R1</t>
        </is>
      </c>
      <c r="Y19" s="3" t="inlineStr">
        <is>
          <t>no</t>
        </is>
      </c>
      <c r="Z19" s="3" t="inlineStr">
        <is>
          <t>proposed_depth_addition</t>
        </is>
      </c>
      <c r="AA19" s="3" t="inlineStr">
        <is>
          <t>6</t>
        </is>
      </c>
      <c r="AB19" s="3" t="inlineStr">
        <is>
          <t>Elicited alert-response timeout and shutdown branch.</t>
        </is>
      </c>
      <c r="AC19" s="3" t="inlineStr"/>
      <c r="AD19" s="3" t="inlineStr"/>
      <c r="AE19" s="3" t="inlineStr">
        <is>
          <t>VERBATIM_PUBLIC_STUDY_DATA</t>
        </is>
      </c>
      <c r="AF19" s="3" t="inlineStr">
        <is>
          <t>SERVER_CHECKED_2026-09-13; CORRECTED</t>
        </is>
      </c>
      <c r="AG19" s="3" t="inlineStr">
        <is>
          <t>Original spelling preserved.</t>
        </is>
      </c>
      <c r="AH19" s="3" t="inlineStr"/>
    </row>
    <row r="20" ht="45" customHeight="1">
      <c r="A20" s="3" t="inlineStr">
        <is>
          <t>E1-071</t>
        </is>
      </c>
      <c r="B20" s="3" t="inlineStr">
        <is>
          <t>new</t>
        </is>
      </c>
      <c r="C20" s="3" t="inlineStr"/>
      <c r="D20" s="3" t="inlineStr">
        <is>
          <t>official</t>
        </is>
      </c>
      <c r="E20" s="3" t="inlineStr">
        <is>
          <t>official example</t>
        </is>
      </c>
      <c r="F20" s="3" t="inlineStr">
        <is>
          <t>Google Home example scripted automations — Movie night scene</t>
        </is>
      </c>
      <c r="G20" s="5" t="inlineStr">
        <is>
          <t>https://developers.home.google.com/automations/example-scripts</t>
        </is>
      </c>
      <c r="H20" s="3" t="inlineStr">
        <is>
          <t>Section: Movie night scene</t>
        </is>
      </c>
      <c r="I20" s="3" t="inlineStr">
        <is>
          <t>2026-09-13</t>
        </is>
      </c>
      <c r="J20" s="3" t="inlineStr">
        <is>
          <t>When Assistant hears the utterance "movie night", lower the blinds, turn off the lights, and pause certain noisy appliances.</t>
        </is>
      </c>
      <c r="K20" s="3" t="inlineStr"/>
      <c r="L20" s="3" t="inlineStr">
        <is>
          <t>IN_SCOPE</t>
        </is>
      </c>
      <c r="M20" s="3" t="inlineStr"/>
      <c r="N20" s="3" t="inlineStr"/>
      <c r="O20" s="3" t="inlineStr">
        <is>
          <t>manual</t>
        </is>
      </c>
      <c r="P20" s="3" t="inlineStr">
        <is>
          <t>immediate/unspecified</t>
        </is>
      </c>
      <c r="Q20" s="3" t="inlineStr">
        <is>
          <t>sequence/composition; guard/branch</t>
        </is>
      </c>
      <c r="R20" s="3" t="inlineStr">
        <is>
          <t>none/unspecified</t>
        </is>
      </c>
      <c r="S20" s="3" t="inlineStr">
        <is>
          <t>multiple</t>
        </is>
      </c>
      <c r="T20" s="3" t="inlineStr">
        <is>
          <t>one-shot/unspecified</t>
        </is>
      </c>
      <c r="U20" s="3" t="inlineStr">
        <is>
          <t>R1, R9</t>
        </is>
      </c>
      <c r="V20" s="3" t="inlineStr"/>
      <c r="W20" s="3" t="inlineStr"/>
      <c r="X20" s="3" t="inlineStr">
        <is>
          <t>R1</t>
        </is>
      </c>
      <c r="Y20" s="3" t="inlineStr">
        <is>
          <t>no</t>
        </is>
      </c>
      <c r="Z20" s="3" t="inlineStr">
        <is>
          <t>proposed_depth_addition</t>
        </is>
      </c>
      <c r="AA20" s="3" t="inlineStr">
        <is>
          <t>7</t>
        </is>
      </c>
      <c r="AB20" s="3" t="inlineStr">
        <is>
          <t>Official home/away lighting with distinct arrival and vacancy flows.</t>
        </is>
      </c>
      <c r="AC20" s="3" t="inlineStr"/>
      <c r="AD20" s="3" t="inlineStr"/>
      <c r="AE20" s="3" t="inlineStr">
        <is>
          <t>OFFICIAL_DESCRIPTION_OR_STRUCTURED_EXTRACTION</t>
        </is>
      </c>
      <c r="AF20" s="3" t="inlineStr">
        <is>
          <t>SERVER_CHECKED_2026-09-13</t>
        </is>
      </c>
      <c r="AG20" s="3" t="inlineStr"/>
      <c r="AH20" s="3" t="inlineStr"/>
    </row>
    <row r="21" ht="45" customHeight="1">
      <c r="A21" s="3" t="inlineStr">
        <is>
          <t>E1-061</t>
        </is>
      </c>
      <c r="B21" s="3" t="inlineStr">
        <is>
          <t>new</t>
        </is>
      </c>
      <c r="C21" s="3" t="inlineStr"/>
      <c r="D21" s="3" t="inlineStr">
        <is>
          <t>official</t>
        </is>
      </c>
      <c r="E21" s="3" t="inlineStr">
        <is>
          <t>official example</t>
        </is>
      </c>
      <c r="F21" s="3" t="inlineStr">
        <is>
          <t>Google Home example scripted automations — Scheduled lighting with multiple times</t>
        </is>
      </c>
      <c r="G21" s="5" t="inlineStr">
        <is>
          <t>https://developers.home.google.com/automations/example-scripts</t>
        </is>
      </c>
      <c r="H21" s="3" t="inlineStr">
        <is>
          <t>Section: Scheduled lighting with multiple times</t>
        </is>
      </c>
      <c r="I21" s="3" t="inlineStr">
        <is>
          <t>2026-09-13</t>
        </is>
      </c>
      <c r="J21" s="3" t="inlineStr">
        <is>
          <t>Turn on the lights at sunset, dim them at 10pm and turn them off at midnight.</t>
        </is>
      </c>
      <c r="K21" s="3" t="inlineStr"/>
      <c r="L21" s="3" t="inlineStr">
        <is>
          <t>IN_SCOPE</t>
        </is>
      </c>
      <c r="M21" s="3" t="inlineStr"/>
      <c r="N21" s="3" t="inlineStr"/>
      <c r="O21" s="3" t="inlineStr">
        <is>
          <t>clock/calendar</t>
        </is>
      </c>
      <c r="P21" s="3" t="inlineStr">
        <is>
          <t>immediate/unspecified</t>
        </is>
      </c>
      <c r="Q21" s="3" t="inlineStr">
        <is>
          <t>sequence/composition</t>
        </is>
      </c>
      <c r="R21" s="3" t="inlineStr">
        <is>
          <t>none/unspecified</t>
        </is>
      </c>
      <c r="S21" s="3" t="inlineStr">
        <is>
          <t>multiple</t>
        </is>
      </c>
      <c r="T21" s="3" t="inlineStr">
        <is>
          <t>one-shot/unspecified</t>
        </is>
      </c>
      <c r="U21" s="3" t="inlineStr">
        <is>
          <t>R9</t>
        </is>
      </c>
      <c r="V21" s="3" t="inlineStr"/>
      <c r="W21" s="3" t="inlineStr"/>
      <c r="X21" s="3" t="inlineStr">
        <is>
          <t>R9</t>
        </is>
      </c>
      <c r="Y21" s="3" t="inlineStr">
        <is>
          <t>no</t>
        </is>
      </c>
      <c r="Z21" s="3" t="inlineStr">
        <is>
          <t>proposed_depth_addition</t>
        </is>
      </c>
      <c r="AA21" s="3" t="inlineStr">
        <is>
          <t>8</t>
        </is>
      </c>
      <c r="AB21" s="3" t="inlineStr">
        <is>
          <t>Official bidirectional light synchronization example.</t>
        </is>
      </c>
      <c r="AC21" s="3" t="inlineStr"/>
      <c r="AD21" s="3" t="inlineStr"/>
      <c r="AE21" s="3" t="inlineStr">
        <is>
          <t>OFFICIAL_DESCRIPTION_OR_STRUCTURED_EXTRACTION</t>
        </is>
      </c>
      <c r="AF21" s="3" t="inlineStr">
        <is>
          <t>SERVER_CHECKED_2026-09-13</t>
        </is>
      </c>
      <c r="AG21" s="3" t="inlineStr"/>
      <c r="AH21" s="3" t="inlineStr"/>
    </row>
  </sheetData>
  <autoFilter ref="A1:AH2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H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6" customWidth="1" min="4" max="4"/>
    <col width="24" customWidth="1" min="5" max="5"/>
    <col width="34" customWidth="1" min="6" max="6"/>
    <col width="28" customWidth="1" min="7" max="7"/>
    <col width="24" customWidth="1" min="8" max="8"/>
    <col width="15" customWidth="1" min="9" max="9"/>
    <col width="42" customWidth="1" min="10" max="10"/>
    <col width="42" customWidth="1" min="11" max="11"/>
    <col width="15" customWidth="1" min="12" max="12"/>
    <col width="42" customWidth="1" min="13" max="13"/>
    <col width="18" customWidth="1" min="14" max="14"/>
    <col width="16" customWidth="1" min="15" max="15"/>
    <col width="24" customWidth="1" min="16" max="16"/>
    <col width="24" customWidth="1" min="17" max="17"/>
    <col width="24" customWidth="1" min="18" max="18"/>
    <col width="20" customWidth="1" min="19" max="19"/>
    <col width="22" customWidth="1" min="20" max="20"/>
    <col width="16" customWidth="1" min="21" max="21"/>
    <col width="12" customWidth="1" min="22" max="22"/>
    <col width="12" customWidth="1" min="23" max="23"/>
    <col width="16" customWidth="1" min="24" max="24"/>
    <col width="10" customWidth="1" min="25" max="25"/>
    <col width="24" customWidth="1" min="26" max="26"/>
    <col width="12" customWidth="1" min="27" max="27"/>
    <col width="42" customWidth="1" min="28" max="28"/>
    <col width="42" customWidth="1" min="29" max="29"/>
    <col width="42" customWidth="1" min="30" max="30"/>
    <col width="24" customWidth="1" min="31" max="31"/>
    <col width="24" customWidth="1" min="32" max="32"/>
    <col width="42" customWidth="1" min="33" max="33"/>
    <col width="14" customWidth="1" min="34" max="34"/>
  </cols>
  <sheetData>
    <row r="1">
      <c r="A1" s="4" t="inlineStr">
        <is>
          <t>corpus_id</t>
        </is>
      </c>
      <c r="B1" s="4" t="inlineStr">
        <is>
          <t>cohort</t>
        </is>
      </c>
      <c r="C1" s="4" t="inlineStr">
        <is>
          <t>prior_case_id</t>
        </is>
      </c>
      <c r="D1" s="4" t="inlineStr">
        <is>
          <t>source_stratum</t>
        </is>
      </c>
      <c r="E1" s="4" t="inlineStr">
        <is>
          <t>provenance_type</t>
        </is>
      </c>
      <c r="F1" s="4" t="inlineStr">
        <is>
          <t>source_title</t>
        </is>
      </c>
      <c r="G1" s="4" t="inlineStr">
        <is>
          <t>source_url</t>
        </is>
      </c>
      <c r="H1" s="4" t="inlineStr">
        <is>
          <t>source_locator</t>
        </is>
      </c>
      <c r="I1" s="4" t="inlineStr">
        <is>
          <t>accessed_date</t>
        </is>
      </c>
      <c r="J1" s="4" t="inlineStr">
        <is>
          <t>original_text</t>
        </is>
      </c>
      <c r="K1" s="4" t="inlineStr">
        <is>
          <t>source_context</t>
        </is>
      </c>
      <c r="L1" s="4" t="inlineStr">
        <is>
          <t>screen_status</t>
        </is>
      </c>
      <c r="M1" s="4" t="inlineStr">
        <is>
          <t>screen_reason</t>
        </is>
      </c>
      <c r="N1" s="4" t="inlineStr">
        <is>
          <t>duplicate_family</t>
        </is>
      </c>
      <c r="O1" s="4" t="inlineStr">
        <is>
          <t>trigger_class</t>
        </is>
      </c>
      <c r="P1" s="4" t="inlineStr">
        <is>
          <t>temporal_class</t>
        </is>
      </c>
      <c r="Q1" s="4" t="inlineStr">
        <is>
          <t>control_class</t>
        </is>
      </c>
      <c r="R1" s="4" t="inlineStr">
        <is>
          <t>memory_class</t>
        </is>
      </c>
      <c r="S1" s="4" t="inlineStr">
        <is>
          <t>action_cardinality</t>
        </is>
      </c>
      <c r="T1" s="4" t="inlineStr">
        <is>
          <t>lifetime</t>
        </is>
      </c>
      <c r="U1" s="4" t="inlineStr">
        <is>
          <t>rb_preliminary</t>
        </is>
      </c>
      <c r="V1" s="4" t="inlineStr">
        <is>
          <t>rb_coder_1</t>
        </is>
      </c>
      <c r="W1" s="4" t="inlineStr">
        <is>
          <t>rb_coder_2</t>
        </is>
      </c>
      <c r="X1" s="4" t="inlineStr">
        <is>
          <t>rb_adjudicated</t>
        </is>
      </c>
      <c r="Y1" s="4" t="inlineStr">
        <is>
          <t>stage_a</t>
        </is>
      </c>
      <c r="Z1" s="4" t="inlineStr">
        <is>
          <t>depth_status</t>
        </is>
      </c>
      <c r="AA1" s="4" t="inlineStr">
        <is>
          <t>depth_rank</t>
        </is>
      </c>
      <c r="AB1" s="4" t="inlineStr">
        <is>
          <t>depth_reason</t>
        </is>
      </c>
      <c r="AC1" s="4" t="inlineStr">
        <is>
          <t>ambiguity_for_user</t>
        </is>
      </c>
      <c r="AD1" s="4" t="inlineStr">
        <is>
          <t>catalog_note</t>
        </is>
      </c>
      <c r="AE1" s="4" t="inlineStr">
        <is>
          <t>text_form</t>
        </is>
      </c>
      <c r="AF1" s="4" t="inlineStr">
        <is>
          <t>source_verification</t>
        </is>
      </c>
      <c r="AG1" s="4" t="inlineStr">
        <is>
          <t>notes</t>
        </is>
      </c>
      <c r="AH1" s="4" t="inlineStr">
        <is>
          <t>topic_family</t>
        </is>
      </c>
    </row>
    <row r="2" ht="45" customHeight="1">
      <c r="A2" s="3" t="inlineStr">
        <is>
          <t>E1-015</t>
        </is>
      </c>
      <c r="B2" s="3" t="inlineStr">
        <is>
          <t>new</t>
        </is>
      </c>
      <c r="C2" s="3" t="inlineStr"/>
      <c r="D2" s="3" t="inlineStr">
        <is>
          <t>elicited</t>
        </is>
      </c>
      <c r="E2" s="3" t="inlineStr">
        <is>
          <t>user-study elicited</t>
        </is>
      </c>
      <c r="F2" s="3" t="inlineStr">
        <is>
          <t>AutoTap ICSE 2019 — User Study 1 public data</t>
        </is>
      </c>
      <c r="G2" s="5" t="inlineStr">
        <is>
          <t>https://github.com/zlfben/autotap/blob/master/data/Data%20-%20User%20Study%201.xlsx</t>
        </is>
      </c>
      <c r="H2" s="3" t="inlineStr">
        <is>
          <t>Result sheet, Excel row 4, column BQ (header 7_Q25, statement 7)</t>
        </is>
      </c>
      <c r="I2" s="3" t="inlineStr">
        <is>
          <t>2026-09-13</t>
        </is>
      </c>
      <c r="J2" s="3" t="inlineStr">
        <is>
          <t>the dishwasher should automatically start during off peak hours if set with soap</t>
        </is>
      </c>
      <c r="K2" s="3" t="inlineStr">
        <is>
          <t>ReleaseData=Yes; saw_examples=yes; exception_response=none</t>
        </is>
      </c>
      <c r="L2" s="3" t="inlineStr">
        <is>
          <t>AMBIGUOUS</t>
        </is>
      </c>
      <c r="M2" s="3" t="inlineStr">
        <is>
          <t>Key threshold/event semantics are not fixed by the source text.</t>
        </is>
      </c>
      <c r="N2" s="3" t="inlineStr"/>
      <c r="O2" s="3" t="inlineStr">
        <is>
          <t>event/state</t>
        </is>
      </c>
      <c r="P2" s="3" t="inlineStr">
        <is>
          <t>duration/window</t>
        </is>
      </c>
      <c r="Q2" s="3" t="inlineStr">
        <is>
          <t>guard/branch</t>
        </is>
      </c>
      <c r="R2" s="3" t="inlineStr">
        <is>
          <t>none/unspecified</t>
        </is>
      </c>
      <c r="S2" s="3" t="inlineStr">
        <is>
          <t>single</t>
        </is>
      </c>
      <c r="T2" s="3" t="inlineStr">
        <is>
          <t>one-shot/unspecified</t>
        </is>
      </c>
      <c r="U2" s="3" t="inlineStr">
        <is>
          <t>R1</t>
        </is>
      </c>
      <c r="V2" s="3" t="inlineStr"/>
      <c r="W2" s="3" t="inlineStr"/>
      <c r="X2" s="3" t="inlineStr">
        <is>
          <t>N/A</t>
        </is>
      </c>
      <c r="Y2" s="3" t="inlineStr">
        <is>
          <t>no</t>
        </is>
      </c>
      <c r="Z2" s="3" t="inlineStr">
        <is>
          <t>breadth_only_pending_depth_selection</t>
        </is>
      </c>
      <c r="AA2" s="3" t="inlineStr"/>
      <c r="AB2" s="3" t="inlineStr"/>
      <c r="AC2" s="3" t="inlineStr">
        <is>
          <t>Needs a case-specific interpretation question before any IR is written.</t>
        </is>
      </c>
      <c r="AD2" s="3" t="inlineStr"/>
      <c r="AE2" s="3" t="inlineStr">
        <is>
          <t>VERBATIM_PUBLIC_STUDY_DATA</t>
        </is>
      </c>
      <c r="AF2" s="3" t="inlineStr">
        <is>
          <t>SERVER_CHECKED_2026-09-13; CORRECTED</t>
        </is>
      </c>
      <c r="AG2" s="3" t="inlineStr">
        <is>
          <t>Original spelling preserved.</t>
        </is>
      </c>
      <c r="AH2" s="3" t="inlineStr"/>
    </row>
    <row r="3" ht="45" customHeight="1">
      <c r="A3" s="3" t="inlineStr">
        <is>
          <t>E1-017</t>
        </is>
      </c>
      <c r="B3" s="3" t="inlineStr">
        <is>
          <t>new</t>
        </is>
      </c>
      <c r="C3" s="3" t="inlineStr"/>
      <c r="D3" s="3" t="inlineStr">
        <is>
          <t>elicited</t>
        </is>
      </c>
      <c r="E3" s="3" t="inlineStr">
        <is>
          <t>user-study elicited</t>
        </is>
      </c>
      <c r="F3" s="3" t="inlineStr">
        <is>
          <t>AutoTap ICSE 2019 — User Study 1 public data</t>
        </is>
      </c>
      <c r="G3" s="5" t="inlineStr">
        <is>
          <t>https://github.com/zlfben/autotap/blob/master/data/Data%20-%20User%20Study%201.xlsx</t>
        </is>
      </c>
      <c r="H3" s="3" t="inlineStr">
        <is>
          <t>Result sheet, Excel row 7, column AM (header 1_Q25, statement 1)</t>
        </is>
      </c>
      <c r="I3" s="3" t="inlineStr">
        <is>
          <t>2026-09-13</t>
        </is>
      </c>
      <c r="J3" s="3" t="inlineStr">
        <is>
          <t>Device actions should be able to be interrupted by human interference.</t>
        </is>
      </c>
      <c r="K3" s="3" t="inlineStr">
        <is>
          <t>ReleaseData=Yes; saw_examples=no; exception_response=none</t>
        </is>
      </c>
      <c r="L3" s="3" t="inlineStr">
        <is>
          <t>AMBIGUOUS</t>
        </is>
      </c>
      <c r="M3" s="3" t="inlineStr">
        <is>
          <t>Key threshold/event semantics are not fixed by the source text.</t>
        </is>
      </c>
      <c r="N3" s="3" t="inlineStr"/>
      <c r="O3" s="3" t="inlineStr">
        <is>
          <t>unspecified</t>
        </is>
      </c>
      <c r="P3" s="3" t="inlineStr">
        <is>
          <t>immediate/unspecified</t>
        </is>
      </c>
      <c r="Q3" s="3" t="inlineStr">
        <is>
          <t>straight-line/unspecified</t>
        </is>
      </c>
      <c r="R3" s="3" t="inlineStr">
        <is>
          <t>none/unspecified</t>
        </is>
      </c>
      <c r="S3" s="3" t="inlineStr">
        <is>
          <t>single</t>
        </is>
      </c>
      <c r="T3" s="3" t="inlineStr">
        <is>
          <t>one-shot/unspecified</t>
        </is>
      </c>
      <c r="U3" s="3" t="inlineStr">
        <is>
          <t>UNCLASSIFIED</t>
        </is>
      </c>
      <c r="V3" s="3" t="inlineStr"/>
      <c r="W3" s="3" t="inlineStr"/>
      <c r="X3" s="3" t="inlineStr">
        <is>
          <t>N/A</t>
        </is>
      </c>
      <c r="Y3" s="3" t="inlineStr">
        <is>
          <t>no</t>
        </is>
      </c>
      <c r="Z3" s="3" t="inlineStr">
        <is>
          <t>breadth_only_pending_depth_selection</t>
        </is>
      </c>
      <c r="AA3" s="3" t="inlineStr"/>
      <c r="AB3" s="3" t="inlineStr"/>
      <c r="AC3" s="3" t="inlineStr">
        <is>
          <t>Needs a case-specific interpretation question before any IR is written.</t>
        </is>
      </c>
      <c r="AD3" s="3" t="inlineStr"/>
      <c r="AE3" s="3" t="inlineStr">
        <is>
          <t>VERBATIM_PUBLIC_STUDY_DATA</t>
        </is>
      </c>
      <c r="AF3" s="3" t="inlineStr">
        <is>
          <t>SERVER_CHECKED_2026-09-13; CORRECTED</t>
        </is>
      </c>
      <c r="AG3" s="3" t="inlineStr">
        <is>
          <t>Original spelling preserved.</t>
        </is>
      </c>
      <c r="AH3" s="3" t="inlineStr"/>
    </row>
    <row r="4" ht="45" customHeight="1">
      <c r="A4" s="3" t="inlineStr">
        <is>
          <t>E1-018</t>
        </is>
      </c>
      <c r="B4" s="3" t="inlineStr">
        <is>
          <t>new</t>
        </is>
      </c>
      <c r="C4" s="3" t="inlineStr"/>
      <c r="D4" s="3" t="inlineStr">
        <is>
          <t>elicited</t>
        </is>
      </c>
      <c r="E4" s="3" t="inlineStr">
        <is>
          <t>user-study elicited</t>
        </is>
      </c>
      <c r="F4" s="3" t="inlineStr">
        <is>
          <t>AutoTap ICSE 2019 — User Study 1 public data</t>
        </is>
      </c>
      <c r="G4" s="5" t="inlineStr">
        <is>
          <t>https://github.com/zlfben/autotap/blob/master/data/Data%20-%20User%20Study%201.xlsx</t>
        </is>
      </c>
      <c r="H4" s="3" t="inlineStr">
        <is>
          <t>Result sheet, Excel row 8, column AR (header 2_Q25, statement 2)</t>
        </is>
      </c>
      <c r="I4" s="3" t="inlineStr">
        <is>
          <t>2026-09-13</t>
        </is>
      </c>
      <c r="J4" s="3" t="inlineStr">
        <is>
          <t>Take a picture of anyone new that passees by the camera and send it as a notification to my phone.</t>
        </is>
      </c>
      <c r="K4" s="3" t="inlineStr">
        <is>
          <t>ReleaseData=Yes; saw_examples=yes; exception_response=If known guests are over or something.</t>
        </is>
      </c>
      <c r="L4" s="3" t="inlineStr">
        <is>
          <t>AMBIGUOUS</t>
        </is>
      </c>
      <c r="M4" s="3" t="inlineStr">
        <is>
          <t>Key threshold/event semantics are not fixed by the source text.</t>
        </is>
      </c>
      <c r="N4" s="3" t="inlineStr"/>
      <c r="O4" s="3" t="inlineStr">
        <is>
          <t>clock/calendar</t>
        </is>
      </c>
      <c r="P4" s="3" t="inlineStr">
        <is>
          <t>immediate/unspecified</t>
        </is>
      </c>
      <c r="Q4" s="3" t="inlineStr">
        <is>
          <t>sequence/composition</t>
        </is>
      </c>
      <c r="R4" s="3" t="inlineStr">
        <is>
          <t>none/unspecified</t>
        </is>
      </c>
      <c r="S4" s="3" t="inlineStr">
        <is>
          <t>multiple</t>
        </is>
      </c>
      <c r="T4" s="3" t="inlineStr">
        <is>
          <t>one-shot/unspecified</t>
        </is>
      </c>
      <c r="U4" s="3" t="inlineStr">
        <is>
          <t>R9</t>
        </is>
      </c>
      <c r="V4" s="3" t="inlineStr"/>
      <c r="W4" s="3" t="inlineStr"/>
      <c r="X4" s="3" t="inlineStr">
        <is>
          <t>N/A</t>
        </is>
      </c>
      <c r="Y4" s="3" t="inlineStr">
        <is>
          <t>no</t>
        </is>
      </c>
      <c r="Z4" s="3" t="inlineStr">
        <is>
          <t>breadth_only_pending_depth_selection</t>
        </is>
      </c>
      <c r="AA4" s="3" t="inlineStr"/>
      <c r="AB4" s="3" t="inlineStr"/>
      <c r="AC4" s="3" t="inlineStr">
        <is>
          <t>Needs a case-specific interpretation question before any IR is written.</t>
        </is>
      </c>
      <c r="AD4" s="3" t="inlineStr"/>
      <c r="AE4" s="3" t="inlineStr">
        <is>
          <t>VERBATIM_PUBLIC_STUDY_DATA</t>
        </is>
      </c>
      <c r="AF4" s="3" t="inlineStr">
        <is>
          <t>SERVER_CHECKED_2026-09-13; CORRECTED</t>
        </is>
      </c>
      <c r="AG4" s="3" t="inlineStr">
        <is>
          <t>Original spelling preserved.</t>
        </is>
      </c>
      <c r="AH4" s="3" t="inlineStr"/>
    </row>
    <row r="5" ht="45" customHeight="1">
      <c r="A5" s="3" t="inlineStr">
        <is>
          <t>E1-027</t>
        </is>
      </c>
      <c r="B5" s="3" t="inlineStr">
        <is>
          <t>new</t>
        </is>
      </c>
      <c r="C5" s="3" t="inlineStr"/>
      <c r="D5" s="3" t="inlineStr">
        <is>
          <t>elicited</t>
        </is>
      </c>
      <c r="E5" s="3" t="inlineStr">
        <is>
          <t>user-study elicited</t>
        </is>
      </c>
      <c r="F5" s="3" t="inlineStr">
        <is>
          <t>AutoTap ICSE 2019 — User Study 1 public data</t>
        </is>
      </c>
      <c r="G5" s="5" t="inlineStr">
        <is>
          <t>https://github.com/zlfben/autotap/blob/master/data/Data%20-%20User%20Study%201.xlsx</t>
        </is>
      </c>
      <c r="H5" s="3" t="inlineStr">
        <is>
          <t>Result sheet, Excel row 21, column AR (header 2_Q25, statement 2)</t>
        </is>
      </c>
      <c r="I5" s="3" t="inlineStr">
        <is>
          <t>2026-09-13</t>
        </is>
      </c>
      <c r="J5" s="3" t="inlineStr">
        <is>
          <t>my outdoor lights should always be on between 7 and 12 pm</t>
        </is>
      </c>
      <c r="K5" s="3" t="inlineStr">
        <is>
          <t>ReleaseData=Yes; saw_examples=yes; exception_response=possibly if I am out of town then the lights wouldn't need to be on.</t>
        </is>
      </c>
      <c r="L5" s="3" t="inlineStr">
        <is>
          <t>AMBIGUOUS</t>
        </is>
      </c>
      <c r="M5" s="3" t="inlineStr">
        <is>
          <t>The clock meaning of 'between 7 and 12 pm' is unclear; the original text is kept without normalization.</t>
        </is>
      </c>
      <c r="N5" s="3" t="inlineStr"/>
      <c r="O5" s="3" t="inlineStr">
        <is>
          <t>clock/calendar</t>
        </is>
      </c>
      <c r="P5" s="3" t="inlineStr">
        <is>
          <t>immediate/unspecified</t>
        </is>
      </c>
      <c r="Q5" s="3" t="inlineStr">
        <is>
          <t>sequence/composition</t>
        </is>
      </c>
      <c r="R5" s="3" t="inlineStr">
        <is>
          <t>none/unspecified</t>
        </is>
      </c>
      <c r="S5" s="3" t="inlineStr">
        <is>
          <t>multiple</t>
        </is>
      </c>
      <c r="T5" s="3" t="inlineStr">
        <is>
          <t>recurring</t>
        </is>
      </c>
      <c r="U5" s="3" t="inlineStr">
        <is>
          <t>R9</t>
        </is>
      </c>
      <c r="V5" s="3" t="inlineStr"/>
      <c r="W5" s="3" t="inlineStr"/>
      <c r="X5" s="3" t="inlineStr">
        <is>
          <t>N/A</t>
        </is>
      </c>
      <c r="Y5" s="3" t="inlineStr">
        <is>
          <t>no</t>
        </is>
      </c>
      <c r="Z5" s="3" t="inlineStr">
        <is>
          <t>breadth_only_pending_depth_selection</t>
        </is>
      </c>
      <c r="AA5" s="3" t="inlineStr"/>
      <c r="AB5" s="3" t="inlineStr"/>
      <c r="AC5" s="3" t="inlineStr">
        <is>
          <t>Which time range 'between 7 and 12 pm' denotes.</t>
        </is>
      </c>
      <c r="AD5" s="3" t="inlineStr"/>
      <c r="AE5" s="3" t="inlineStr">
        <is>
          <t>VERBATIM_PUBLIC_STUDY_DATA</t>
        </is>
      </c>
      <c r="AF5" s="3" t="inlineStr">
        <is>
          <t>SERVER_CHECKED_2026-09-13; CORRECTED</t>
        </is>
      </c>
      <c r="AG5" s="3" t="inlineStr">
        <is>
          <t>Original spelling preserved.</t>
        </is>
      </c>
      <c r="AH5" s="3" t="inlineStr"/>
    </row>
    <row r="6" ht="45" customHeight="1">
      <c r="A6" s="3" t="inlineStr">
        <is>
          <t>E1-036</t>
        </is>
      </c>
      <c r="B6" s="3" t="inlineStr">
        <is>
          <t>new</t>
        </is>
      </c>
      <c r="C6" s="3" t="inlineStr"/>
      <c r="D6" s="3" t="inlineStr">
        <is>
          <t>research</t>
        </is>
      </c>
      <c r="E6" s="3" t="inlineStr">
        <is>
          <t>study task</t>
        </is>
      </c>
      <c r="F6" s="3" t="inlineStr">
        <is>
          <t>Ur et al., Practical Trigger-Action Programming in the Smart Home (CHI 2014)</t>
        </is>
      </c>
      <c r="G6" s="5" t="inlineStr">
        <is>
          <t>https://www.blaseur.com/papers/TriggerActionCHI14.pdf</t>
        </is>
      </c>
      <c r="H6" s="3" t="inlineStr">
        <is>
          <t>Table 1, Task A</t>
        </is>
      </c>
      <c r="I6" s="3" t="inlineStr">
        <is>
          <t>2026-09-13</t>
        </is>
      </c>
      <c r="J6" s="3" t="inlineStr">
        <is>
          <t>When my Facebook profile picture changes, update my Twitter profile picture.</t>
        </is>
      </c>
      <c r="K6" s="3" t="inlineStr"/>
      <c r="L6" s="3" t="inlineStr">
        <is>
          <t>OUT_OF_SCOPE</t>
        </is>
      </c>
      <c r="M6" s="3" t="inlineStr">
        <is>
          <t>Online-service automation rather than a smart-home device automation; retained as a recorded boundary case.</t>
        </is>
      </c>
      <c r="N6" s="3" t="inlineStr"/>
      <c r="O6" s="3" t="inlineStr">
        <is>
          <t>event/state</t>
        </is>
      </c>
      <c r="P6" s="3" t="inlineStr">
        <is>
          <t>immediate/unspecified</t>
        </is>
      </c>
      <c r="Q6" s="3" t="inlineStr">
        <is>
          <t>guard/branch</t>
        </is>
      </c>
      <c r="R6" s="3" t="inlineStr">
        <is>
          <t>none/unspecified</t>
        </is>
      </c>
      <c r="S6" s="3" t="inlineStr">
        <is>
          <t>single</t>
        </is>
      </c>
      <c r="T6" s="3" t="inlineStr">
        <is>
          <t>one-shot/unspecified</t>
        </is>
      </c>
      <c r="U6" s="3" t="inlineStr">
        <is>
          <t>R1</t>
        </is>
      </c>
      <c r="V6" s="3" t="inlineStr"/>
      <c r="W6" s="3" t="inlineStr"/>
      <c r="X6" s="3" t="inlineStr">
        <is>
          <t>N/A</t>
        </is>
      </c>
      <c r="Y6" s="3" t="inlineStr">
        <is>
          <t>no</t>
        </is>
      </c>
      <c r="Z6" s="3" t="inlineStr">
        <is>
          <t>breadth_only_pending_depth_selection</t>
        </is>
      </c>
      <c r="AA6" s="3" t="inlineStr"/>
      <c r="AB6" s="3" t="inlineStr"/>
      <c r="AC6" s="3" t="inlineStr"/>
      <c r="AD6" s="3" t="inlineStr"/>
      <c r="AE6" s="3" t="inlineStr">
        <is>
          <t>VERBATIM_PAPER_TASK_OR_EXAMPLE</t>
        </is>
      </c>
      <c r="AF6" s="3" t="inlineStr">
        <is>
          <t>SERVER_CHECKED_2026-09-13</t>
        </is>
      </c>
      <c r="AG6" s="3" t="inlineStr"/>
      <c r="AH6" s="3" t="inlineStr"/>
    </row>
    <row r="7" ht="45" customHeight="1">
      <c r="A7" s="3" t="inlineStr">
        <is>
          <t>E1-037</t>
        </is>
      </c>
      <c r="B7" s="3" t="inlineStr">
        <is>
          <t>new</t>
        </is>
      </c>
      <c r="C7" s="3" t="inlineStr"/>
      <c r="D7" s="3" t="inlineStr">
        <is>
          <t>research</t>
        </is>
      </c>
      <c r="E7" s="3" t="inlineStr">
        <is>
          <t>study task</t>
        </is>
      </c>
      <c r="F7" s="3" t="inlineStr">
        <is>
          <t>Ur et al., Practical Trigger-Action Programming in the Smart Home (CHI 2014)</t>
        </is>
      </c>
      <c r="G7" s="5" t="inlineStr">
        <is>
          <t>https://www.blaseur.com/papers/TriggerActionCHI14.pdf</t>
        </is>
      </c>
      <c r="H7" s="3" t="inlineStr">
        <is>
          <t>Table 1, Task B</t>
        </is>
      </c>
      <c r="I7" s="3" t="inlineStr">
        <is>
          <t>2026-09-13</t>
        </is>
      </c>
      <c r="J7" s="3" t="inlineStr">
        <is>
          <t>Get all updates from the website www.xkcd.com via email.</t>
        </is>
      </c>
      <c r="K7" s="3" t="inlineStr"/>
      <c r="L7" s="3" t="inlineStr">
        <is>
          <t>OUT_OF_SCOPE</t>
        </is>
      </c>
      <c r="M7" s="3" t="inlineStr">
        <is>
          <t>Online-service automation rather than a smart-home device automation; retained as a recorded boundary case.</t>
        </is>
      </c>
      <c r="N7" s="3" t="inlineStr"/>
      <c r="O7" s="3" t="inlineStr">
        <is>
          <t>unspecified</t>
        </is>
      </c>
      <c r="P7" s="3" t="inlineStr">
        <is>
          <t>immediate/unspecified</t>
        </is>
      </c>
      <c r="Q7" s="3" t="inlineStr">
        <is>
          <t>straight-line/unspecified</t>
        </is>
      </c>
      <c r="R7" s="3" t="inlineStr">
        <is>
          <t>none/unspecified</t>
        </is>
      </c>
      <c r="S7" s="3" t="inlineStr">
        <is>
          <t>single</t>
        </is>
      </c>
      <c r="T7" s="3" t="inlineStr">
        <is>
          <t>one-shot/unspecified</t>
        </is>
      </c>
      <c r="U7" s="3" t="inlineStr">
        <is>
          <t>UNCLASSIFIED</t>
        </is>
      </c>
      <c r="V7" s="3" t="inlineStr"/>
      <c r="W7" s="3" t="inlineStr"/>
      <c r="X7" s="3" t="inlineStr">
        <is>
          <t>N/A</t>
        </is>
      </c>
      <c r="Y7" s="3" t="inlineStr">
        <is>
          <t>no</t>
        </is>
      </c>
      <c r="Z7" s="3" t="inlineStr">
        <is>
          <t>breadth_only_pending_depth_selection</t>
        </is>
      </c>
      <c r="AA7" s="3" t="inlineStr"/>
      <c r="AB7" s="3" t="inlineStr"/>
      <c r="AC7" s="3" t="inlineStr"/>
      <c r="AD7" s="3" t="inlineStr"/>
      <c r="AE7" s="3" t="inlineStr">
        <is>
          <t>VERBATIM_PAPER_TASK_OR_EXAMPLE</t>
        </is>
      </c>
      <c r="AF7" s="3" t="inlineStr">
        <is>
          <t>SERVER_CHECKED_2026-09-13</t>
        </is>
      </c>
      <c r="AG7" s="3" t="inlineStr"/>
      <c r="AH7" s="3" t="inlineStr"/>
    </row>
    <row r="8" ht="45" customHeight="1">
      <c r="A8" s="3" t="inlineStr">
        <is>
          <t>E1-083</t>
        </is>
      </c>
      <c r="B8" s="3" t="inlineStr">
        <is>
          <t>new</t>
        </is>
      </c>
      <c r="C8" s="3" t="inlineStr"/>
      <c r="D8" s="3" t="inlineStr">
        <is>
          <t>community</t>
        </is>
      </c>
      <c r="E8" s="3" t="inlineStr">
        <is>
          <t>user-authored naturalistic</t>
        </is>
      </c>
      <c r="F8" s="3" t="inlineStr">
        <is>
          <t>Home Assistant Community thread 958200: Delayed entity, AKA "turn this on for X minutes"</t>
        </is>
      </c>
      <c r="G8" s="5" t="inlineStr">
        <is>
          <t>https://community.home-assistant.io/t/delayed-entity-aka-turn-this-on-for-x-minutes/958200</t>
        </is>
      </c>
      <c r="H8" s="3" t="inlineStr">
        <is>
          <t>opening post (created 2025-12-03 UTC)</t>
        </is>
      </c>
      <c r="I8" s="3" t="inlineStr">
        <is>
          <t>2026-09-13</t>
        </is>
      </c>
      <c r="J8" s="3" t="inlineStr">
        <is>
          <t>Turn off automatic door locking for a few hours and then resume normally; temporarily suspend the heat-pump algorithm and resume in a couple of hours.</t>
        </is>
      </c>
      <c r="K8" s="3" t="inlineStr"/>
      <c r="L8" s="3" t="inlineStr">
        <is>
          <t>AMBIGUOUS</t>
        </is>
      </c>
      <c r="M8" s="3" t="inlineStr">
        <is>
          <t>The source leaves a behavior-defining choice unresolved.</t>
        </is>
      </c>
      <c r="N8" s="3" t="inlineStr"/>
      <c r="O8" s="3" t="inlineStr">
        <is>
          <t>unspecified</t>
        </is>
      </c>
      <c r="P8" s="3" t="inlineStr">
        <is>
          <t>duration/window</t>
        </is>
      </c>
      <c r="Q8" s="3" t="inlineStr">
        <is>
          <t>sequence/composition</t>
        </is>
      </c>
      <c r="R8" s="3" t="inlineStr">
        <is>
          <t>timestamp/prior-state; count/aggregate</t>
        </is>
      </c>
      <c r="S8" s="3" t="inlineStr">
        <is>
          <t>multiple</t>
        </is>
      </c>
      <c r="T8" s="3" t="inlineStr">
        <is>
          <t>one-shot/unspecified</t>
        </is>
      </c>
      <c r="U8" s="3" t="inlineStr">
        <is>
          <t>R6</t>
        </is>
      </c>
      <c r="V8" s="3" t="inlineStr"/>
      <c r="W8" s="3" t="inlineStr"/>
      <c r="X8" s="3" t="inlineStr">
        <is>
          <t>N/A</t>
        </is>
      </c>
      <c r="Y8" s="3" t="inlineStr">
        <is>
          <t>no</t>
        </is>
      </c>
      <c r="Z8" s="3" t="inlineStr">
        <is>
          <t>breadth_only_pending_depth_selection</t>
        </is>
      </c>
      <c r="AA8" s="3" t="inlineStr"/>
      <c r="AB8" s="3" t="inlineStr"/>
      <c r="AC8" s="3" t="inlineStr">
        <is>
          <t>Needs a case-specific interpretation question before any depth encoding.</t>
        </is>
      </c>
      <c r="AD8" s="3" t="inlineStr"/>
      <c r="AE8" s="3" t="inlineStr">
        <is>
          <t>RESEARCHER_NORMALIZATION_OF_STATED_BEHAVIOR</t>
        </is>
      </c>
      <c r="AF8" s="3" t="inlineStr">
        <is>
          <t>SERVER_CHECKED_2026-09-13; CORRECTED</t>
        </is>
      </c>
      <c r="AG8" s="3" t="inlineStr"/>
      <c r="AH8" s="3" t="inlineStr"/>
    </row>
    <row r="9" ht="45" customHeight="1">
      <c r="A9" s="3" t="inlineStr">
        <is>
          <t>E1-091</t>
        </is>
      </c>
      <c r="B9" s="3" t="inlineStr">
        <is>
          <t>new</t>
        </is>
      </c>
      <c r="C9" s="3" t="inlineStr"/>
      <c r="D9" s="3" t="inlineStr">
        <is>
          <t>community</t>
        </is>
      </c>
      <c r="E9" s="3" t="inlineStr">
        <is>
          <t>user-authored naturalistic</t>
        </is>
      </c>
      <c r="F9" s="3" t="inlineStr">
        <is>
          <t>Home Assistant Community thread 987759: Automation to run every 5 minutes</t>
        </is>
      </c>
      <c r="G9" s="5" t="inlineStr">
        <is>
          <t>https://community.home-assistant.io/t/automation-to-run-every-5-minutes/987759</t>
        </is>
      </c>
      <c r="H9" s="3" t="inlineStr">
        <is>
          <t>opening post (created 2026-02-17 UTC)</t>
        </is>
      </c>
      <c r="I9" s="3" t="inlineStr">
        <is>
          <t>2026-09-13</t>
        </is>
      </c>
      <c r="J9" s="3" t="inlineStr">
        <is>
          <t>Every five minutes, check several radiator valve positions and notify when the specified joint condition holds.</t>
        </is>
      </c>
      <c r="K9" s="3" t="inlineStr"/>
      <c r="L9" s="3" t="inlineStr">
        <is>
          <t>AMBIGUOUS</t>
        </is>
      </c>
      <c r="M9" s="3" t="inlineStr">
        <is>
          <t>The source does not state the content of the joint condition over the valve positions.</t>
        </is>
      </c>
      <c r="N9" s="3" t="inlineStr"/>
      <c r="O9" s="3" t="inlineStr">
        <is>
          <t>event/state</t>
        </is>
      </c>
      <c r="P9" s="3" t="inlineStr">
        <is>
          <t>duration/window; periodic/count</t>
        </is>
      </c>
      <c r="Q9" s="3" t="inlineStr">
        <is>
          <t>sequence/composition; guard/branch; repeat</t>
        </is>
      </c>
      <c r="R9" s="3" t="inlineStr">
        <is>
          <t>none/unspecified</t>
        </is>
      </c>
      <c r="S9" s="3" t="inlineStr">
        <is>
          <t>multiple</t>
        </is>
      </c>
      <c r="T9" s="3" t="inlineStr">
        <is>
          <t>recurring</t>
        </is>
      </c>
      <c r="U9" s="3" t="inlineStr">
        <is>
          <t>R1, R7</t>
        </is>
      </c>
      <c r="V9" s="3" t="inlineStr"/>
      <c r="W9" s="3" t="inlineStr"/>
      <c r="X9" s="3" t="inlineStr">
        <is>
          <t>N/A</t>
        </is>
      </c>
      <c r="Y9" s="3" t="inlineStr">
        <is>
          <t>no</t>
        </is>
      </c>
      <c r="Z9" s="3" t="inlineStr">
        <is>
          <t>breadth_only_pending_depth_selection</t>
        </is>
      </c>
      <c r="AA9" s="3" t="inlineStr"/>
      <c r="AB9" s="3" t="inlineStr"/>
      <c r="AC9" s="3" t="inlineStr">
        <is>
          <t>Needs a case-specific interpretation question before any depth encoding.</t>
        </is>
      </c>
      <c r="AD9" s="3" t="inlineStr"/>
      <c r="AE9" s="3" t="inlineStr">
        <is>
          <t>RESEARCHER_NORMALIZATION_OF_STATED_BEHAVIOR</t>
        </is>
      </c>
      <c r="AF9" s="3" t="inlineStr">
        <is>
          <t>SERVER_CHECKED_2026-09-13; CORRECTED</t>
        </is>
      </c>
      <c r="AG9" s="3" t="inlineStr"/>
      <c r="AH9" s="3" t="inlineStr"/>
    </row>
  </sheetData>
  <autoFilter ref="A1:AH9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9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0" customWidth="1" min="3" max="3"/>
    <col width="24" customWidth="1" min="4" max="4"/>
    <col width="28" customWidth="1" min="5" max="5"/>
    <col width="24" customWidth="1" min="6" max="6"/>
    <col width="42" customWidth="1" min="7" max="7"/>
  </cols>
  <sheetData>
    <row r="1">
      <c r="A1" s="4" t="inlineStr">
        <is>
          <t>candidate_id</t>
        </is>
      </c>
      <c r="B1" s="4" t="inlineStr">
        <is>
          <t>final_corpus_id</t>
        </is>
      </c>
      <c r="C1" s="4" t="inlineStr">
        <is>
          <t>decision</t>
        </is>
      </c>
      <c r="D1" s="4" t="inlineStr">
        <is>
          <t>reason</t>
        </is>
      </c>
      <c r="E1" s="4" t="inlineStr">
        <is>
          <t>source_url</t>
        </is>
      </c>
      <c r="F1" s="4" t="inlineStr">
        <is>
          <t>source_locator</t>
        </is>
      </c>
      <c r="G1" s="4" t="inlineStr">
        <is>
          <t>original_text</t>
        </is>
      </c>
    </row>
    <row r="2" ht="45" customHeight="1">
      <c r="A2" s="3" t="inlineStr">
        <is>
          <t>S-001</t>
        </is>
      </c>
      <c r="B2" s="3" t="inlineStr">
        <is>
          <t>E1-001</t>
        </is>
      </c>
      <c r="C2" s="3" t="inlineStr">
        <is>
          <t>RETAIN</t>
        </is>
      </c>
      <c r="D2" s="3" t="inlineStr">
        <is>
          <t>Retained under the four-stratum quota.</t>
        </is>
      </c>
      <c r="E2" s="5" t="inlineStr">
        <is>
          <t>https://github.com/home-assistant/core/blob/dev/homeassistant/components/automation/blueprints/motion_light.yaml</t>
        </is>
      </c>
      <c r="F2" s="3" t="inlineStr">
        <is>
          <t>blueprint.description; input.no_motion_wait.description; mode; actions</t>
        </is>
      </c>
      <c r="G2" s="3" t="inlineStr">
        <is>
          <t>description: "Turn on a light when motion is detected." / no_motion_wait: "Time to leave the light on after last motion is detected." / mode: restart / actions: light.turn_on -&gt; wait_for_trigger(motion on-&gt;off) -&gt; delay(no_motion_wait) -&gt; light.turn_off</t>
        </is>
      </c>
    </row>
    <row r="3" ht="45" customHeight="1">
      <c r="A3" s="3" t="inlineStr">
        <is>
          <t>S-002</t>
        </is>
      </c>
      <c r="B3" s="3" t="inlineStr">
        <is>
          <t>E1-002</t>
        </is>
      </c>
      <c r="C3" s="3" t="inlineStr">
        <is>
          <t>RETAIN</t>
        </is>
      </c>
      <c r="D3" s="3" t="inlineStr">
        <is>
          <t>Retained under the four-stratum quota.</t>
        </is>
      </c>
      <c r="E3" s="5" t="inlineStr">
        <is>
          <t>https://arxiv.org/html/2102.01468v2</t>
        </is>
      </c>
      <c r="F3" s="3" t="inlineStr">
        <is>
          <t>§V-D, extended-action violation example, applet r_i</t>
        </is>
      </c>
      <c r="G3" s="3" t="inlineStr">
        <is>
          <t>Turn on fan for 15 minutes when CO₂&gt;1000ppm</t>
        </is>
      </c>
    </row>
    <row r="4" ht="45" customHeight="1">
      <c r="A4" s="3" t="inlineStr">
        <is>
          <t>S-003</t>
        </is>
      </c>
      <c r="B4" s="3" t="inlineStr">
        <is>
          <t>E1-003</t>
        </is>
      </c>
      <c r="C4" s="3" t="inlineStr">
        <is>
          <t>RETAIN</t>
        </is>
      </c>
      <c r="D4" s="3" t="inlineStr">
        <is>
          <t>Retained under the four-stratum quota.</t>
        </is>
      </c>
      <c r="E4" s="5" t="inlineStr">
        <is>
          <t>https://arxiv.org/html/2102.01468v2</t>
        </is>
      </c>
      <c r="F4" s="3" t="inlineStr">
        <is>
          <t>§V-D, extended-action violation example, applet r_j</t>
        </is>
      </c>
      <c r="G4" s="3" t="inlineStr">
        <is>
          <t>At noon turn your fan on for 15 minutes</t>
        </is>
      </c>
    </row>
    <row r="5" ht="45" customHeight="1">
      <c r="A5" s="3" t="inlineStr">
        <is>
          <t>S-004</t>
        </is>
      </c>
      <c r="B5" s="3" t="inlineStr">
        <is>
          <t>E1-004</t>
        </is>
      </c>
      <c r="C5" s="3" t="inlineStr">
        <is>
          <t>RETAIN</t>
        </is>
      </c>
      <c r="D5" s="3" t="inlineStr">
        <is>
          <t>Retained under the four-stratum quota.</t>
        </is>
      </c>
      <c r="E5" s="5" t="inlineStr">
        <is>
          <t>https://community.home-assistant.io/t/how-to-set-notifications-when-door-is-left-open/520305</t>
        </is>
      </c>
      <c r="F5" s="3" t="inlineStr">
        <is>
          <t>opening post (created 2023-01-17 UTC)</t>
        </is>
      </c>
      <c r="G5" s="3" t="inlineStr">
        <is>
          <t>set notification if door is left open for 2 minutes and if not closed after that it should send notifications each minute</t>
        </is>
      </c>
    </row>
    <row r="6" ht="45" customHeight="1">
      <c r="A6" s="3" t="inlineStr">
        <is>
          <t>S-005</t>
        </is>
      </c>
      <c r="B6" s="3" t="inlineStr">
        <is>
          <t>E1-005</t>
        </is>
      </c>
      <c r="C6" s="3" t="inlineStr">
        <is>
          <t>RETAIN</t>
        </is>
      </c>
      <c r="D6" s="3" t="inlineStr">
        <is>
          <t>Retained under the four-stratum quota.</t>
        </is>
      </c>
      <c r="E6" s="5" t="inlineStr">
        <is>
          <t>https://community.home-assistant.io/t/how-to-automate-open-door-notifications/783900</t>
        </is>
      </c>
      <c r="F6" s="3" t="inlineStr">
        <is>
          <t>opening post (created 2024-10-18 UTC)</t>
        </is>
      </c>
      <c r="G6" s="3" t="inlineStr">
        <is>
          <t>trigger: "garage door is left open after 22:00 for more than 10 minutes"; "Blink the kitchen lights by dimming up and down 10 times in quick succession"; "pause for 5 minutes"; "Repeat the cycle up to 7 times"; "If at any point during the blinking cycles, the garage door is closed, stop the automation immediately"; "Ensure the kitchen lights return to their original state ... after the automation ends or during the pauses"</t>
        </is>
      </c>
    </row>
    <row r="7" ht="45" customHeight="1">
      <c r="A7" s="3" t="inlineStr">
        <is>
          <t>S-006</t>
        </is>
      </c>
      <c r="B7" s="3" t="inlineStr">
        <is>
          <t>E1-006</t>
        </is>
      </c>
      <c r="C7" s="3" t="inlineStr">
        <is>
          <t>RETAIN</t>
        </is>
      </c>
      <c r="D7" s="3" t="inlineStr">
        <is>
          <t>Retained under the four-stratum quota.</t>
        </is>
      </c>
      <c r="E7" s="5" t="inlineStr">
        <is>
          <t>https://homes.cs.washington.edu/~jessejm/data/ZhangICSE2019.pdf</t>
        </is>
      </c>
      <c r="F7" s="3" t="inlineStr">
        <is>
          <t>§III template (g) Event-Event Conditional sample response; same statement in User Study 1 data, Result sheet, Excel row 16, column AM (header 1_Q25, statement 1)</t>
        </is>
      </c>
      <c r="G7" s="3" t="inlineStr">
        <is>
          <t>My smart door lock should always lock after I come in.</t>
        </is>
      </c>
    </row>
    <row r="8" ht="45" customHeight="1">
      <c r="A8" s="3" t="inlineStr">
        <is>
          <t>S-007</t>
        </is>
      </c>
      <c r="B8" s="3" t="inlineStr">
        <is>
          <t>E1-007</t>
        </is>
      </c>
      <c r="C8" s="3" t="inlineStr">
        <is>
          <t>RETAIN</t>
        </is>
      </c>
      <c r="D8" s="3" t="inlineStr">
        <is>
          <t>Retained under the four-stratum quota.</t>
        </is>
      </c>
      <c r="E8" s="5" t="inlineStr">
        <is>
          <t>https://homes.cs.washington.edu/~jessejm/data/ZhangICSE2019.pdf</t>
        </is>
      </c>
      <c r="F8" s="3" t="inlineStr">
        <is>
          <t>§VI-A Task 11, with the authors' rule explanation</t>
        </is>
      </c>
      <c r="G8" s="3" t="inlineStr">
        <is>
          <t>"IF Roomba becomes on WHILE the curtain is open, THEN close the curtain; IF curtain becomes open WHILE Roomba is on, THEN turn off Roomba" (property: "Roomba is on should NEVER be active WHILE curtain is open")</t>
        </is>
      </c>
    </row>
    <row r="9" ht="45" customHeight="1">
      <c r="A9" s="3" t="inlineStr">
        <is>
          <t>S-008</t>
        </is>
      </c>
      <c r="B9" s="3" t="inlineStr">
        <is>
          <t>E1-008</t>
        </is>
      </c>
      <c r="C9" s="3" t="inlineStr">
        <is>
          <t>RETAIN</t>
        </is>
      </c>
      <c r="D9" s="3" t="inlineStr">
        <is>
          <t>Retained under the four-stratum quota.</t>
        </is>
      </c>
      <c r="E9" s="5" t="inlineStr">
        <is>
          <t>https://www.blaseur.com/papers/TriggerActionCHI14.pdf</t>
        </is>
      </c>
      <c r="F9" s="3" t="inlineStr">
        <is>
          <t>Results, trigger/action structure paragraph ('one participant specified')</t>
        </is>
      </c>
      <c r="G9" s="3" t="inlineStr">
        <is>
          <t>When I get up at night, I would want my lights to turn on and off as I enter and exit the room.</t>
        </is>
      </c>
    </row>
    <row r="10" ht="45" customHeight="1">
      <c r="A10" s="3" t="inlineStr">
        <is>
          <t>S-009</t>
        </is>
      </c>
      <c r="B10" s="3" t="inlineStr">
        <is>
          <t>E1-009</t>
        </is>
      </c>
      <c r="C10" s="3" t="inlineStr">
        <is>
          <t>RETAIN</t>
        </is>
      </c>
      <c r="D10" s="3" t="inlineStr">
        <is>
          <t>Retained under the four-stratum quota.</t>
        </is>
      </c>
      <c r="E10" s="5" t="inlineStr">
        <is>
          <t>https://www.blaseur.com/papers/TriggerActionCHI14.pdf</t>
        </is>
      </c>
      <c r="F10" s="3" t="inlineStr">
        <is>
          <t>Table 1, Task I</t>
        </is>
      </c>
      <c r="G10" s="3" t="inlineStr">
        <is>
          <t>If it is 10:00pm and my bedroom door is closed and the lights are off, turn the television off.</t>
        </is>
      </c>
    </row>
    <row r="11" ht="45" customHeight="1">
      <c r="A11" s="3" t="inlineStr">
        <is>
          <t>S-010</t>
        </is>
      </c>
      <c r="B11" s="3" t="inlineStr">
        <is>
          <t>E1-010</t>
        </is>
      </c>
      <c r="C11" s="3" t="inlineStr">
        <is>
          <t>RETAIN</t>
        </is>
      </c>
      <c r="D11" s="3" t="inlineStr">
        <is>
          <t>Retained under the four-stratum quota.</t>
        </is>
      </c>
      <c r="E11" s="5" t="inlineStr">
        <is>
          <t>https://homes.cs.washington.edu/~mcakmak/pdfs/2015/huang2015ubicomp.pdf</t>
        </is>
      </c>
      <c r="F11" s="3" t="inlineStr">
        <is>
          <t>Table 5, Q3</t>
        </is>
      </c>
      <c r="G11" s="3" t="inlineStr">
        <is>
          <t>If the doorbell rings and the time is 3:00 pm, then unlock the front door for 10 seconds</t>
        </is>
      </c>
    </row>
    <row r="12" ht="45" customHeight="1">
      <c r="A12" s="3" t="inlineStr">
        <is>
          <t>S-011</t>
        </is>
      </c>
      <c r="B12" s="3" t="inlineStr">
        <is>
          <t>E1-011</t>
        </is>
      </c>
      <c r="C12" s="3" t="inlineStr">
        <is>
          <t>RETAIN</t>
        </is>
      </c>
      <c r="D12" s="3" t="inlineStr">
        <is>
          <t>Retained under the four-stratum quota.</t>
        </is>
      </c>
      <c r="E12" s="5" t="inlineStr">
        <is>
          <t>https://homes.cs.washington.edu/~mcakmak/pdfs/2015/huang2015ubicomp.pdf</t>
        </is>
      </c>
      <c r="F12" s="3" t="inlineStr">
        <is>
          <t>Table 4, P3</t>
        </is>
      </c>
      <c r="G12" s="3" t="inlineStr">
        <is>
          <t>Your work starts at 9:00 am. On days when you get to work on time, you want to send an email to yourself saying "I got to work on time!"</t>
        </is>
      </c>
    </row>
    <row r="13" ht="45" customHeight="1">
      <c r="A13" s="3" t="inlineStr">
        <is>
          <t>S-012</t>
        </is>
      </c>
      <c r="B13" s="3" t="inlineStr">
        <is>
          <t>E1-012</t>
        </is>
      </c>
      <c r="C13" s="3" t="inlineStr">
        <is>
          <t>RETAIN</t>
        </is>
      </c>
      <c r="D13" s="3" t="inlineStr">
        <is>
          <t>Retained under the four-stratum quota.</t>
        </is>
      </c>
      <c r="E13" s="5" t="inlineStr">
        <is>
          <t>https://par.nsf.gov/biblio/10106413</t>
        </is>
      </c>
      <c r="F13" s="3" t="inlineStr">
        <is>
          <t>Table 1, Event-Event paradigm, second example (full text: https://par.nsf.gov/servlets/purl/10106413)</t>
        </is>
      </c>
      <c r="G13" s="3" t="inlineStr">
        <is>
          <t>IF Sally enters the bedroom AND AFTERWARDS the sun sets WITHIN 2 hours THEN turn on the bedroom lights.</t>
        </is>
      </c>
    </row>
    <row r="14" ht="45" customHeight="1">
      <c r="A14" s="3" t="inlineStr">
        <is>
          <t>S-013</t>
        </is>
      </c>
      <c r="B14" s="3" t="inlineStr">
        <is>
          <t>E1-013</t>
        </is>
      </c>
      <c r="C14" s="3" t="inlineStr">
        <is>
          <t>RETAIN</t>
        </is>
      </c>
      <c r="D14" s="3" t="inlineStr">
        <is>
          <t>Retained under the four-stratum quota.</t>
        </is>
      </c>
      <c r="E14" s="5" t="inlineStr">
        <is>
          <t>https://github.com/zlfben/autotap/blob/master/data/Data%20-%20User%20Study%201.xlsx</t>
        </is>
      </c>
      <c r="F14" s="3" t="inlineStr">
        <is>
          <t>Result sheet, Excel row 4, column BG (header 5_Q25, statement 5)</t>
        </is>
      </c>
      <c r="G14" s="3" t="inlineStr">
        <is>
          <t>the smart stove should automatically shut off if it detects no pot or anything for more than 5 minutes</t>
        </is>
      </c>
    </row>
    <row r="15" ht="45" customHeight="1">
      <c r="A15" s="3" t="inlineStr">
        <is>
          <t>S-014</t>
        </is>
      </c>
      <c r="B15" s="3" t="inlineStr">
        <is>
          <t>E1-014</t>
        </is>
      </c>
      <c r="C15" s="3" t="inlineStr">
        <is>
          <t>RETAIN</t>
        </is>
      </c>
      <c r="D15" s="3" t="inlineStr">
        <is>
          <t>Retained under the four-stratum quota.</t>
        </is>
      </c>
      <c r="E15" s="5" t="inlineStr">
        <is>
          <t>https://github.com/zlfben/autotap/blob/master/data/Data%20-%20User%20Study%201.xlsx</t>
        </is>
      </c>
      <c r="F15" s="3" t="inlineStr">
        <is>
          <t>Result sheet, Excel row 4, column BL (header 6_Q25, statement 6)</t>
        </is>
      </c>
      <c r="G15" s="3" t="inlineStr">
        <is>
          <t>the refridgerator should alarm if the door is open for longer than 5 minutes</t>
        </is>
      </c>
    </row>
    <row r="16" ht="45" customHeight="1">
      <c r="A16" s="3" t="inlineStr">
        <is>
          <t>S-015</t>
        </is>
      </c>
      <c r="B16" s="3" t="inlineStr">
        <is>
          <t>E1-015</t>
        </is>
      </c>
      <c r="C16" s="3" t="inlineStr">
        <is>
          <t>RETAIN</t>
        </is>
      </c>
      <c r="D16" s="3" t="inlineStr">
        <is>
          <t>Retained under the four-stratum quota.</t>
        </is>
      </c>
      <c r="E16" s="5" t="inlineStr">
        <is>
          <t>https://github.com/zlfben/autotap/blob/master/data/Data%20-%20User%20Study%201.xlsx</t>
        </is>
      </c>
      <c r="F16" s="3" t="inlineStr">
        <is>
          <t>Result sheet, Excel row 4, column BQ (header 7_Q25, statement 7)</t>
        </is>
      </c>
      <c r="G16" s="3" t="inlineStr">
        <is>
          <t>the dishwasher should automatically start during off peak hours if set with soap</t>
        </is>
      </c>
    </row>
    <row r="17" ht="45" customHeight="1">
      <c r="A17" s="3" t="inlineStr">
        <is>
          <t>S-016</t>
        </is>
      </c>
      <c r="B17" s="3" t="inlineStr">
        <is>
          <t>E1-016</t>
        </is>
      </c>
      <c r="C17" s="3" t="inlineStr">
        <is>
          <t>RETAIN</t>
        </is>
      </c>
      <c r="D17" s="3" t="inlineStr">
        <is>
          <t>Retained under the four-stratum quota.</t>
        </is>
      </c>
      <c r="E17" s="5" t="inlineStr">
        <is>
          <t>https://github.com/zlfben/autotap/blob/master/data/Data%20-%20User%20Study%201.xlsx</t>
        </is>
      </c>
      <c r="F17" s="3" t="inlineStr">
        <is>
          <t>Result sheet, Excel row 6, column BV (header 8_Q25, statement 8)</t>
        </is>
      </c>
      <c r="G17" s="3" t="inlineStr">
        <is>
          <t>My smart vacuum should always return to its base to charge when low on power.</t>
        </is>
      </c>
    </row>
    <row r="18" ht="45" customHeight="1">
      <c r="A18" s="3" t="inlineStr">
        <is>
          <t>S-017</t>
        </is>
      </c>
      <c r="B18" s="3" t="inlineStr">
        <is>
          <t>E1-017</t>
        </is>
      </c>
      <c r="C18" s="3" t="inlineStr">
        <is>
          <t>RETAIN</t>
        </is>
      </c>
      <c r="D18" s="3" t="inlineStr">
        <is>
          <t>Retained under the four-stratum quota.</t>
        </is>
      </c>
      <c r="E18" s="5" t="inlineStr">
        <is>
          <t>https://github.com/zlfben/autotap/blob/master/data/Data%20-%20User%20Study%201.xlsx</t>
        </is>
      </c>
      <c r="F18" s="3" t="inlineStr">
        <is>
          <t>Result sheet, Excel row 7, column AM (header 1_Q25, statement 1)</t>
        </is>
      </c>
      <c r="G18" s="3" t="inlineStr">
        <is>
          <t>Device actions should be able to be interrupted by human interference.</t>
        </is>
      </c>
    </row>
    <row r="19" ht="45" customHeight="1">
      <c r="A19" s="3" t="inlineStr">
        <is>
          <t>S-018</t>
        </is>
      </c>
      <c r="B19" s="3" t="inlineStr">
        <is>
          <t>E1-018</t>
        </is>
      </c>
      <c r="C19" s="3" t="inlineStr">
        <is>
          <t>RETAIN</t>
        </is>
      </c>
      <c r="D19" s="3" t="inlineStr">
        <is>
          <t>Retained under the four-stratum quota.</t>
        </is>
      </c>
      <c r="E19" s="5" t="inlineStr">
        <is>
          <t>https://github.com/zlfben/autotap/blob/master/data/Data%20-%20User%20Study%201.xlsx</t>
        </is>
      </c>
      <c r="F19" s="3" t="inlineStr">
        <is>
          <t>Result sheet, Excel row 8, column AR (header 2_Q25, statement 2)</t>
        </is>
      </c>
      <c r="G19" s="3" t="inlineStr">
        <is>
          <t>Take a picture of anyone new that passees by the camera and send it as a notification to my phone.</t>
        </is>
      </c>
    </row>
    <row r="20" ht="45" customHeight="1">
      <c r="A20" s="3" t="inlineStr">
        <is>
          <t>S-019</t>
        </is>
      </c>
      <c r="B20" s="3" t="inlineStr">
        <is>
          <t>E1-019</t>
        </is>
      </c>
      <c r="C20" s="3" t="inlineStr">
        <is>
          <t>RETAIN</t>
        </is>
      </c>
      <c r="D20" s="3" t="inlineStr">
        <is>
          <t>Retained under the four-stratum quota.</t>
        </is>
      </c>
      <c r="E20" s="5" t="inlineStr">
        <is>
          <t>https://github.com/zlfben/autotap/blob/master/data/Data%20-%20User%20Study%201.xlsx</t>
        </is>
      </c>
      <c r="F20" s="3" t="inlineStr">
        <is>
          <t>Result sheet, Excel row 8, column AW (header 3_Q25, statement 3)</t>
        </is>
      </c>
      <c r="G20" s="3" t="inlineStr">
        <is>
          <t>Pause dishwasher if other devices need hot water.</t>
        </is>
      </c>
    </row>
    <row r="21" ht="45" customHeight="1">
      <c r="A21" s="3" t="inlineStr">
        <is>
          <t>S-020</t>
        </is>
      </c>
      <c r="B21" s="3" t="inlineStr">
        <is>
          <t>E1-020</t>
        </is>
      </c>
      <c r="C21" s="3" t="inlineStr">
        <is>
          <t>RETAIN</t>
        </is>
      </c>
      <c r="D21" s="3" t="inlineStr">
        <is>
          <t>Retained under the four-stratum quota.</t>
        </is>
      </c>
      <c r="E21" s="5" t="inlineStr">
        <is>
          <t>https://github.com/zlfben/autotap/blob/master/data/Data%20-%20User%20Study%201.xlsx</t>
        </is>
      </c>
      <c r="F21" s="3" t="inlineStr">
        <is>
          <t>Result sheet, Excel row 8, column BB (header 4_Q25, statement 4)</t>
        </is>
      </c>
      <c r="G21" s="3" t="inlineStr">
        <is>
          <t>Never run the washing machine and the dish washer at the same time.</t>
        </is>
      </c>
    </row>
    <row r="22" ht="45" customHeight="1">
      <c r="A22" s="3" t="inlineStr">
        <is>
          <t>S-021</t>
        </is>
      </c>
      <c r="B22" s="3" t="inlineStr">
        <is>
          <t>E1-021</t>
        </is>
      </c>
      <c r="C22" s="3" t="inlineStr">
        <is>
          <t>RETAIN</t>
        </is>
      </c>
      <c r="D22" s="3" t="inlineStr">
        <is>
          <t>Retained under the four-stratum quota.</t>
        </is>
      </c>
      <c r="E22" s="5" t="inlineStr">
        <is>
          <t>https://github.com/zlfben/autotap/blob/master/data/Data%20-%20User%20Study%201.xlsx</t>
        </is>
      </c>
      <c r="F22" s="3" t="inlineStr">
        <is>
          <t>Result sheet, Excel row 8, column CA (header 9_Q25, statement 9)</t>
        </is>
      </c>
      <c r="G22" s="3" t="inlineStr">
        <is>
          <t>Start to mow the lawn at 8 am once a week.</t>
        </is>
      </c>
    </row>
    <row r="23" ht="45" customHeight="1">
      <c r="A23" s="3" t="inlineStr">
        <is>
          <t>S-022</t>
        </is>
      </c>
      <c r="B23" s="3" t="inlineStr">
        <is>
          <t>E1-022</t>
        </is>
      </c>
      <c r="C23" s="3" t="inlineStr">
        <is>
          <t>RETAIN</t>
        </is>
      </c>
      <c r="D23" s="3" t="inlineStr">
        <is>
          <t>Retained under the four-stratum quota.</t>
        </is>
      </c>
      <c r="E23" s="5" t="inlineStr">
        <is>
          <t>https://github.com/zlfben/autotap/blob/master/data/Data%20-%20User%20Study%201.xlsx</t>
        </is>
      </c>
      <c r="F23" s="3" t="inlineStr">
        <is>
          <t>Result sheet, Excel row 8, column CF (header 10_Q25, statement 10)</t>
        </is>
      </c>
      <c r="G23" s="3" t="inlineStr">
        <is>
          <t>Give the pets their food at 6am every day and at 6pm.</t>
        </is>
      </c>
    </row>
    <row r="24" ht="45" customHeight="1">
      <c r="A24" s="3" t="inlineStr">
        <is>
          <t>S-023</t>
        </is>
      </c>
      <c r="B24" s="3" t="inlineStr">
        <is>
          <t>E1-023</t>
        </is>
      </c>
      <c r="C24" s="3" t="inlineStr">
        <is>
          <t>RETAIN</t>
        </is>
      </c>
      <c r="D24" s="3" t="inlineStr">
        <is>
          <t>Retained under the four-stratum quota.</t>
        </is>
      </c>
      <c r="E24" s="5" t="inlineStr">
        <is>
          <t>https://github.com/zlfben/autotap/blob/master/data/Data%20-%20User%20Study%201.xlsx</t>
        </is>
      </c>
      <c r="F24" s="3" t="inlineStr">
        <is>
          <t>Result sheet, Excel row 10, column AM (header 1_Q25, statement 1)</t>
        </is>
      </c>
      <c r="G24" s="3" t="inlineStr">
        <is>
          <t>smart sprinkler should never activate when it has recently rained</t>
        </is>
      </c>
    </row>
    <row r="25" ht="45" customHeight="1">
      <c r="A25" s="3" t="inlineStr">
        <is>
          <t>S-024</t>
        </is>
      </c>
      <c r="B25" s="3" t="inlineStr">
        <is>
          <t>E1-024</t>
        </is>
      </c>
      <c r="C25" s="3" t="inlineStr">
        <is>
          <t>RETAIN</t>
        </is>
      </c>
      <c r="D25" s="3" t="inlineStr">
        <is>
          <t>Retained under the four-stratum quota.</t>
        </is>
      </c>
      <c r="E25" s="5" t="inlineStr">
        <is>
          <t>https://github.com/zlfben/autotap/blob/master/data/Data%20-%20User%20Study%201.xlsx</t>
        </is>
      </c>
      <c r="F25" s="3" t="inlineStr">
        <is>
          <t>Result sheet, Excel row 12, column BL (header 6_Q25, statement 6)</t>
        </is>
      </c>
      <c r="G25" s="3" t="inlineStr">
        <is>
          <t>My smart sprinkler should never be on more than 10 minutes every 2 days.</t>
        </is>
      </c>
    </row>
    <row r="26" ht="45" customHeight="1">
      <c r="A26" s="3" t="inlineStr">
        <is>
          <t>S-025</t>
        </is>
      </c>
      <c r="B26" s="3" t="inlineStr">
        <is>
          <t>E1-025</t>
        </is>
      </c>
      <c r="C26" s="3" t="inlineStr">
        <is>
          <t>RETAIN</t>
        </is>
      </c>
      <c r="D26" s="3" t="inlineStr">
        <is>
          <t>Retained under the four-stratum quota.</t>
        </is>
      </c>
      <c r="E26" s="5" t="inlineStr">
        <is>
          <t>https://github.com/zlfben/autotap/blob/master/data/Data%20-%20User%20Study%201.xlsx</t>
        </is>
      </c>
      <c r="F26" s="3" t="inlineStr">
        <is>
          <t>Result sheet, Excel row 13, column BV (header 8_Q25, statement 8)</t>
        </is>
      </c>
      <c r="G26" s="3" t="inlineStr">
        <is>
          <t>Never test the CO detector after 10 PM</t>
        </is>
      </c>
    </row>
    <row r="27" ht="45" customHeight="1">
      <c r="A27" s="3" t="inlineStr">
        <is>
          <t>S-026</t>
        </is>
      </c>
      <c r="B27" s="3" t="inlineStr">
        <is>
          <t>E1-026</t>
        </is>
      </c>
      <c r="C27" s="3" t="inlineStr">
        <is>
          <t>RETAIN</t>
        </is>
      </c>
      <c r="D27" s="3" t="inlineStr">
        <is>
          <t>Retained under the four-stratum quota.</t>
        </is>
      </c>
      <c r="E27" s="5" t="inlineStr">
        <is>
          <t>https://github.com/zlfben/autotap/blob/master/data/Data%20-%20User%20Study%201.xlsx</t>
        </is>
      </c>
      <c r="F27" s="3" t="inlineStr">
        <is>
          <t>Result sheet, Excel row 18, column BL (header 6_Q25, statement 6)</t>
        </is>
      </c>
      <c r="G27" s="3" t="inlineStr">
        <is>
          <t>A smart light should only come on when it is a certain brightness in the room or a user activates it manually.</t>
        </is>
      </c>
    </row>
    <row r="28" ht="45" customHeight="1">
      <c r="A28" s="3" t="inlineStr">
        <is>
          <t>S-027</t>
        </is>
      </c>
      <c r="B28" s="3" t="inlineStr">
        <is>
          <t>E1-027</t>
        </is>
      </c>
      <c r="C28" s="3" t="inlineStr">
        <is>
          <t>RETAIN</t>
        </is>
      </c>
      <c r="D28" s="3" t="inlineStr">
        <is>
          <t>Retained under the four-stratum quota.</t>
        </is>
      </c>
      <c r="E28" s="5" t="inlineStr">
        <is>
          <t>https://github.com/zlfben/autotap/blob/master/data/Data%20-%20User%20Study%201.xlsx</t>
        </is>
      </c>
      <c r="F28" s="3" t="inlineStr">
        <is>
          <t>Result sheet, Excel row 21, column AR (header 2_Q25, statement 2)</t>
        </is>
      </c>
      <c r="G28" s="3" t="inlineStr">
        <is>
          <t>my outdoor lights should always be on between 7 and 12 pm</t>
        </is>
      </c>
    </row>
    <row r="29" ht="45" customHeight="1">
      <c r="A29" s="3" t="inlineStr">
        <is>
          <t>S-028</t>
        </is>
      </c>
      <c r="B29" s="3" t="inlineStr">
        <is>
          <t>E1-028</t>
        </is>
      </c>
      <c r="C29" s="3" t="inlineStr">
        <is>
          <t>RETAIN</t>
        </is>
      </c>
      <c r="D29" s="3" t="inlineStr">
        <is>
          <t>Retained under the four-stratum quota.</t>
        </is>
      </c>
      <c r="E29" s="5" t="inlineStr">
        <is>
          <t>https://github.com/zlfben/autotap/blob/master/data/Data%20-%20User%20Study%201.xlsx</t>
        </is>
      </c>
      <c r="F29" s="3" t="inlineStr">
        <is>
          <t>Result sheet, Excel row 26, column AR (header 2_Q25, statement 2)</t>
        </is>
      </c>
      <c r="G29" s="3" t="inlineStr">
        <is>
          <t>My smart pet feeder should never allow to dispense more than 2 bowls of food per every 4 hours.</t>
        </is>
      </c>
    </row>
    <row r="30" ht="45" customHeight="1">
      <c r="A30" s="3" t="inlineStr">
        <is>
          <t>S-029</t>
        </is>
      </c>
      <c r="B30" s="3" t="inlineStr">
        <is>
          <t>E1-029</t>
        </is>
      </c>
      <c r="C30" s="3" t="inlineStr">
        <is>
          <t>RETAIN</t>
        </is>
      </c>
      <c r="D30" s="3" t="inlineStr">
        <is>
          <t>Retained under the four-stratum quota.</t>
        </is>
      </c>
      <c r="E30" s="5" t="inlineStr">
        <is>
          <t>https://github.com/zlfben/autotap/blob/master/data/Data%20-%20User%20Study%201.xlsx</t>
        </is>
      </c>
      <c r="F30" s="3" t="inlineStr">
        <is>
          <t>Result sheet, Excel row 28, column BB (header 4_Q25, statement 4)</t>
        </is>
      </c>
      <c r="G30" s="3" t="inlineStr">
        <is>
          <t>the lock should lock 10 seconds after you close the door</t>
        </is>
      </c>
    </row>
    <row r="31" ht="45" customHeight="1">
      <c r="A31" s="3" t="inlineStr">
        <is>
          <t>S-030</t>
        </is>
      </c>
      <c r="B31" s="3" t="inlineStr">
        <is>
          <t>E1-030</t>
        </is>
      </c>
      <c r="C31" s="3" t="inlineStr">
        <is>
          <t>RETAIN</t>
        </is>
      </c>
      <c r="D31" s="3" t="inlineStr">
        <is>
          <t>Retained under the four-stratum quota.</t>
        </is>
      </c>
      <c r="E31" s="5" t="inlineStr">
        <is>
          <t>https://github.com/zlfben/autotap/blob/master/data/Data%20-%20User%20Study%201.xlsx</t>
        </is>
      </c>
      <c r="F31" s="3" t="inlineStr">
        <is>
          <t>Result sheet, Excel row 31, column CF (header 10_Q25, statement 10)</t>
        </is>
      </c>
      <c r="G31" s="3" t="inlineStr">
        <is>
          <t>Smart tv should always turn off when idle for 1 hour.</t>
        </is>
      </c>
    </row>
    <row r="32" ht="45" customHeight="1">
      <c r="A32" s="3" t="inlineStr">
        <is>
          <t>S-031</t>
        </is>
      </c>
      <c r="B32" s="3" t="inlineStr">
        <is>
          <t>E1-031</t>
        </is>
      </c>
      <c r="C32" s="3" t="inlineStr">
        <is>
          <t>RETAIN</t>
        </is>
      </c>
      <c r="D32" s="3" t="inlineStr">
        <is>
          <t>Retained under the four-stratum quota.</t>
        </is>
      </c>
      <c r="E32" s="5" t="inlineStr">
        <is>
          <t>https://github.com/zlfben/autotap/blob/master/data/Data%20-%20User%20Study%201.xlsx</t>
        </is>
      </c>
      <c r="F32" s="3" t="inlineStr">
        <is>
          <t>Result sheet, Excel row 48, column CF (header 10_Q25, statement 10)</t>
        </is>
      </c>
      <c r="G32" s="3" t="inlineStr">
        <is>
          <t>The Smart TV in the children's room should never turn on whenever the toothbrush has not been used at least twice that day</t>
        </is>
      </c>
    </row>
    <row r="33" ht="45" customHeight="1">
      <c r="A33" s="3" t="inlineStr">
        <is>
          <t>S-032</t>
        </is>
      </c>
      <c r="B33" s="3" t="inlineStr">
        <is>
          <t>E1-032</t>
        </is>
      </c>
      <c r="C33" s="3" t="inlineStr">
        <is>
          <t>RETAIN</t>
        </is>
      </c>
      <c r="D33" s="3" t="inlineStr">
        <is>
          <t>Retained under the four-stratum quota.</t>
        </is>
      </c>
      <c r="E33" s="5" t="inlineStr">
        <is>
          <t>https://github.com/zlfben/autotap/blob/master/data/Data%20-%20User%20Study%201.xlsx</t>
        </is>
      </c>
      <c r="F33" s="3" t="inlineStr">
        <is>
          <t>Result sheet, Excel row 51, column AW (header 3_Q25, statement 3)</t>
        </is>
      </c>
      <c r="G33" s="3" t="inlineStr">
        <is>
          <t>My smart window should never be opened while the AC is on.</t>
        </is>
      </c>
    </row>
    <row r="34" ht="45" customHeight="1">
      <c r="A34" s="3" t="inlineStr">
        <is>
          <t>S-033</t>
        </is>
      </c>
      <c r="B34" s="3" t="inlineStr">
        <is>
          <t>E1-033</t>
        </is>
      </c>
      <c r="C34" s="3" t="inlineStr">
        <is>
          <t>RETAIN</t>
        </is>
      </c>
      <c r="D34" s="3" t="inlineStr">
        <is>
          <t>Retained under the four-stratum quota.</t>
        </is>
      </c>
      <c r="E34" s="5" t="inlineStr">
        <is>
          <t>https://github.com/zlfben/autotap/blob/master/data/Data%20-%20User%20Study%201.xlsx</t>
        </is>
      </c>
      <c r="F34" s="3" t="inlineStr">
        <is>
          <t>Result sheet, Excel row 54, column AR (header 2_Q25, statement 2)</t>
        </is>
      </c>
      <c r="G34" s="3" t="inlineStr">
        <is>
          <t>My smart garage door should always be opened on weekdays from 5pm to 6pm.</t>
        </is>
      </c>
    </row>
    <row r="35" ht="45" customHeight="1">
      <c r="A35" s="3" t="inlineStr">
        <is>
          <t>S-034</t>
        </is>
      </c>
      <c r="B35" s="3" t="inlineStr">
        <is>
          <t>E1-034</t>
        </is>
      </c>
      <c r="C35" s="3" t="inlineStr">
        <is>
          <t>RETAIN</t>
        </is>
      </c>
      <c r="D35" s="3" t="inlineStr">
        <is>
          <t>Retained under the four-stratum quota.</t>
        </is>
      </c>
      <c r="E35" s="5" t="inlineStr">
        <is>
          <t>https://github.com/zlfben/autotap/blob/master/data/Data%20-%20User%20Study%201.xlsx</t>
        </is>
      </c>
      <c r="F35" s="3" t="inlineStr">
        <is>
          <t>Result sheet, Excel row 60, column CA (header 9_Q25, statement 9)</t>
        </is>
      </c>
      <c r="G35" s="3" t="inlineStr">
        <is>
          <t>My smart oven should never be on for than 4 hours, maximum without alerting if more time is needed, and shutting off if not responded to.</t>
        </is>
      </c>
    </row>
    <row r="36" ht="45" customHeight="1">
      <c r="A36" s="3" t="inlineStr">
        <is>
          <t>S-035</t>
        </is>
      </c>
      <c r="B36" s="3" t="inlineStr">
        <is>
          <t>E1-035</t>
        </is>
      </c>
      <c r="C36" s="3" t="inlineStr">
        <is>
          <t>RETAIN</t>
        </is>
      </c>
      <c r="D36" s="3" t="inlineStr">
        <is>
          <t>Retained under the four-stratum quota.</t>
        </is>
      </c>
      <c r="E36" s="5" t="inlineStr">
        <is>
          <t>https://github.com/zlfben/autotap/blob/master/data/Data%20-%20User%20Study%201.xlsx</t>
        </is>
      </c>
      <c r="F36" s="3" t="inlineStr">
        <is>
          <t>Result sheet, Excel row 67, column AW (header 3_Q25, statement 3)</t>
        </is>
      </c>
      <c r="G36" s="3" t="inlineStr">
        <is>
          <t>My smart TV should turn off whenever it has been empty of people for more than 10 minutes.</t>
        </is>
      </c>
    </row>
    <row r="37" ht="45" customHeight="1">
      <c r="A37" s="3" t="inlineStr">
        <is>
          <t>S-036</t>
        </is>
      </c>
      <c r="B37" s="3" t="inlineStr">
        <is>
          <t>E1-036</t>
        </is>
      </c>
      <c r="C37" s="3" t="inlineStr">
        <is>
          <t>RETAIN</t>
        </is>
      </c>
      <c r="D37" s="3" t="inlineStr">
        <is>
          <t>Retained under the four-stratum quota.</t>
        </is>
      </c>
      <c r="E37" s="5" t="inlineStr">
        <is>
          <t>https://www.blaseur.com/papers/TriggerActionCHI14.pdf</t>
        </is>
      </c>
      <c r="F37" s="3" t="inlineStr">
        <is>
          <t>Table 1, Task A</t>
        </is>
      </c>
      <c r="G37" s="3" t="inlineStr">
        <is>
          <t>When my Facebook profile picture changes, update my Twitter profile picture.</t>
        </is>
      </c>
    </row>
    <row r="38" ht="45" customHeight="1">
      <c r="A38" s="3" t="inlineStr">
        <is>
          <t>S-037</t>
        </is>
      </c>
      <c r="B38" s="3" t="inlineStr">
        <is>
          <t>E1-037</t>
        </is>
      </c>
      <c r="C38" s="3" t="inlineStr">
        <is>
          <t>RETAIN</t>
        </is>
      </c>
      <c r="D38" s="3" t="inlineStr">
        <is>
          <t>Retained under the four-stratum quota.</t>
        </is>
      </c>
      <c r="E38" s="5" t="inlineStr">
        <is>
          <t>https://www.blaseur.com/papers/TriggerActionCHI14.pdf</t>
        </is>
      </c>
      <c r="F38" s="3" t="inlineStr">
        <is>
          <t>Table 1, Task B</t>
        </is>
      </c>
      <c r="G38" s="3" t="inlineStr">
        <is>
          <t>Get all updates from the website www.xkcd.com via email.</t>
        </is>
      </c>
    </row>
    <row r="39" ht="45" customHeight="1">
      <c r="A39" s="3" t="inlineStr">
        <is>
          <t>S-038</t>
        </is>
      </c>
      <c r="B39" s="3" t="inlineStr">
        <is>
          <t>E1-038</t>
        </is>
      </c>
      <c r="C39" s="3" t="inlineStr">
        <is>
          <t>RETAIN</t>
        </is>
      </c>
      <c r="D39" s="3" t="inlineStr">
        <is>
          <t>Retained under the four-stratum quota.</t>
        </is>
      </c>
      <c r="E39" s="5" t="inlineStr">
        <is>
          <t>https://www.blaseur.com/papers/TriggerActionCHI14.pdf</t>
        </is>
      </c>
      <c r="F39" s="3" t="inlineStr">
        <is>
          <t>Table 1, Task C</t>
        </is>
      </c>
      <c r="G39" s="3" t="inlineStr">
        <is>
          <t>If I receive an email from JohnDoe@gmail.com then blink lights to notify me.</t>
        </is>
      </c>
    </row>
    <row r="40" ht="45" customHeight="1">
      <c r="A40" s="3" t="inlineStr">
        <is>
          <t>S-039</t>
        </is>
      </c>
      <c r="B40" s="3" t="inlineStr">
        <is>
          <t>E1-039</t>
        </is>
      </c>
      <c r="C40" s="3" t="inlineStr">
        <is>
          <t>RETAIN</t>
        </is>
      </c>
      <c r="D40" s="3" t="inlineStr">
        <is>
          <t>Retained under the four-stratum quota.</t>
        </is>
      </c>
      <c r="E40" s="5" t="inlineStr">
        <is>
          <t>https://www.blaseur.com/papers/TriggerActionCHI14.pdf</t>
        </is>
      </c>
      <c r="F40" s="3" t="inlineStr">
        <is>
          <t>Table 1, Task D</t>
        </is>
      </c>
      <c r="G40" s="3" t="inlineStr">
        <is>
          <t>Turn on the lights when the sun sets.</t>
        </is>
      </c>
    </row>
    <row r="41" ht="45" customHeight="1">
      <c r="A41" s="3" t="inlineStr">
        <is>
          <t>S-040</t>
        </is>
      </c>
      <c r="B41" s="3" t="inlineStr">
        <is>
          <t>E1-040</t>
        </is>
      </c>
      <c r="C41" s="3" t="inlineStr">
        <is>
          <t>RETAIN</t>
        </is>
      </c>
      <c r="D41" s="3" t="inlineStr">
        <is>
          <t>Retained under the four-stratum quota.</t>
        </is>
      </c>
      <c r="E41" s="5" t="inlineStr">
        <is>
          <t>https://www.blaseur.com/papers/TriggerActionCHI14.pdf</t>
        </is>
      </c>
      <c r="F41" s="3" t="inlineStr">
        <is>
          <t>Table 1, Task E</t>
        </is>
      </c>
      <c r="G41" s="3" t="inlineStr">
        <is>
          <t>If it is 7:00PM then turn on the lights in my bedroom.</t>
        </is>
      </c>
    </row>
    <row r="42" ht="45" customHeight="1">
      <c r="A42" s="3" t="inlineStr">
        <is>
          <t>S-041</t>
        </is>
      </c>
      <c r="B42" s="3" t="inlineStr">
        <is>
          <t>E1-041</t>
        </is>
      </c>
      <c r="C42" s="3" t="inlineStr">
        <is>
          <t>RETAIN</t>
        </is>
      </c>
      <c r="D42" s="3" t="inlineStr">
        <is>
          <t>Retained under the four-stratum quota.</t>
        </is>
      </c>
      <c r="E42" s="5" t="inlineStr">
        <is>
          <t>https://www.blaseur.com/papers/TriggerActionCHI14.pdf</t>
        </is>
      </c>
      <c r="F42" s="3" t="inlineStr">
        <is>
          <t>Table 1, Task F</t>
        </is>
      </c>
      <c r="G42" s="3" t="inlineStr">
        <is>
          <t>Blink the lights if someone is at my front door.</t>
        </is>
      </c>
    </row>
    <row r="43" ht="45" customHeight="1">
      <c r="A43" s="3" t="inlineStr">
        <is>
          <t>S-042</t>
        </is>
      </c>
      <c r="B43" s="3" t="inlineStr">
        <is>
          <t>E1-042</t>
        </is>
      </c>
      <c r="C43" s="3" t="inlineStr">
        <is>
          <t>RETAIN</t>
        </is>
      </c>
      <c r="D43" s="3" t="inlineStr">
        <is>
          <t>Retained under the four-stratum quota.</t>
        </is>
      </c>
      <c r="E43" s="5" t="inlineStr">
        <is>
          <t>https://www.blaseur.com/papers/TriggerActionCHI14.pdf</t>
        </is>
      </c>
      <c r="F43" s="3" t="inlineStr">
        <is>
          <t>Table 1, Task G</t>
        </is>
      </c>
      <c r="G43" s="3" t="inlineStr">
        <is>
          <t>The lighting in my bedroom should be on when I am there and off when I am not there.</t>
        </is>
      </c>
    </row>
    <row r="44" ht="45" customHeight="1">
      <c r="A44" s="3" t="inlineStr">
        <is>
          <t>S-043</t>
        </is>
      </c>
      <c r="B44" s="3" t="inlineStr">
        <is>
          <t>E1-043</t>
        </is>
      </c>
      <c r="C44" s="3" t="inlineStr">
        <is>
          <t>RETAIN</t>
        </is>
      </c>
      <c r="D44" s="3" t="inlineStr">
        <is>
          <t>Retained under the four-stratum quota.</t>
        </is>
      </c>
      <c r="E44" s="5" t="inlineStr">
        <is>
          <t>https://www.blaseur.com/papers/TriggerActionCHI14.pdf</t>
        </is>
      </c>
      <c r="F44" s="3" t="inlineStr">
        <is>
          <t>Table 1, Task H</t>
        </is>
      </c>
      <c r="G44" s="3" t="inlineStr">
        <is>
          <t>If it begins to rain then change the light colors to blue.</t>
        </is>
      </c>
    </row>
    <row r="45" ht="45" customHeight="1">
      <c r="A45" s="3" t="inlineStr">
        <is>
          <t>S-044</t>
        </is>
      </c>
      <c r="B45" s="3" t="inlineStr">
        <is>
          <t>E1-044</t>
        </is>
      </c>
      <c r="C45" s="3" t="inlineStr">
        <is>
          <t>RETAIN</t>
        </is>
      </c>
      <c r="D45" s="3" t="inlineStr">
        <is>
          <t>Retained under the four-stratum quota.</t>
        </is>
      </c>
      <c r="E45" s="5" t="inlineStr">
        <is>
          <t>https://www.blaseur.com/papers/TriggerActionCHI14.pdf</t>
        </is>
      </c>
      <c r="F45" s="3" t="inlineStr">
        <is>
          <t>Table 1, Task J</t>
        </is>
      </c>
      <c r="G45" s="3" t="inlineStr">
        <is>
          <t>When I close the kitchen door, lock the door and turn off the kitchen light.</t>
        </is>
      </c>
    </row>
    <row r="46" ht="45" customHeight="1">
      <c r="A46" s="3" t="inlineStr">
        <is>
          <t>S-045</t>
        </is>
      </c>
      <c r="B46" s="3" t="inlineStr">
        <is>
          <t>E1-045</t>
        </is>
      </c>
      <c r="C46" s="3" t="inlineStr">
        <is>
          <t>RETAIN</t>
        </is>
      </c>
      <c r="D46" s="3" t="inlineStr">
        <is>
          <t>Retained under the four-stratum quota.</t>
        </is>
      </c>
      <c r="E46" s="5" t="inlineStr">
        <is>
          <t>https://www.blaseur.com/papers/TriggerActionCHI14.pdf</t>
        </is>
      </c>
      <c r="F46" s="3" t="inlineStr">
        <is>
          <t>Figure 1</t>
        </is>
      </c>
      <c r="G46" s="3" t="inlineStr">
        <is>
          <t>If I get less than 5 hours of sleep, put on a pot o’ coffee</t>
        </is>
      </c>
    </row>
    <row r="47" ht="45" customHeight="1">
      <c r="A47" s="3" t="inlineStr">
        <is>
          <t>S-046</t>
        </is>
      </c>
      <c r="B47" s="3" t="inlineStr">
        <is>
          <t>E1-046</t>
        </is>
      </c>
      <c r="C47" s="3" t="inlineStr">
        <is>
          <t>RETAIN</t>
        </is>
      </c>
      <c r="D47" s="3" t="inlineStr">
        <is>
          <t>Retained under the four-stratum quota.</t>
        </is>
      </c>
      <c r="E47" s="5" t="inlineStr">
        <is>
          <t>https://hcrlab.cs.washington.edu/assets/pdfs/2015/huang2015ubicomp.pdf</t>
        </is>
      </c>
      <c r="F47" s="3" t="inlineStr">
        <is>
          <t>Table 4 P1</t>
        </is>
      </c>
      <c r="G47" s="3" t="inlineStr">
        <is>
          <t>You want the lights to turn on at 6:00 pm every day</t>
        </is>
      </c>
    </row>
    <row r="48" ht="45" customHeight="1">
      <c r="A48" s="3" t="inlineStr">
        <is>
          <t>S-047</t>
        </is>
      </c>
      <c r="B48" s="3" t="inlineStr">
        <is>
          <t>E1-047</t>
        </is>
      </c>
      <c r="C48" s="3" t="inlineStr">
        <is>
          <t>RETAIN</t>
        </is>
      </c>
      <c r="D48" s="3" t="inlineStr">
        <is>
          <t>Retained under the four-stratum quota.</t>
        </is>
      </c>
      <c r="E48" s="5" t="inlineStr">
        <is>
          <t>https://hcrlab.cs.washington.edu/assets/pdfs/2015/huang2015ubicomp.pdf</t>
        </is>
      </c>
      <c r="F48" s="3" t="inlineStr">
        <is>
          <t>Table 4 P2</t>
        </is>
      </c>
      <c r="G48" s="3" t="inlineStr">
        <is>
          <t>You want to be notified, via email, should a person be detected in the house while everyone’s at work (9:00 am - 5:00 pm every day)</t>
        </is>
      </c>
    </row>
    <row r="49" ht="45" customHeight="1">
      <c r="A49" s="3" t="inlineStr">
        <is>
          <t>S-048</t>
        </is>
      </c>
      <c r="B49" s="3" t="inlineStr">
        <is>
          <t>E1-048</t>
        </is>
      </c>
      <c r="C49" s="3" t="inlineStr">
        <is>
          <t>RETAIN</t>
        </is>
      </c>
      <c r="D49" s="3" t="inlineStr">
        <is>
          <t>Retained under the four-stratum quota.</t>
        </is>
      </c>
      <c r="E49" s="5" t="inlineStr">
        <is>
          <t>https://hcrlab.cs.washington.edu/assets/pdfs/2015/huang2015ubicomp.pdf</t>
        </is>
      </c>
      <c r="F49" s="3" t="inlineStr">
        <is>
          <t>Table 4 P4</t>
        </is>
      </c>
      <c r="G49" s="3" t="inlineStr">
        <is>
          <t>You want the thermostat to be off as much as possible, unless the temperature outside is below 40 degrees, in which case the thermostat should be set to 72 degrees.</t>
        </is>
      </c>
    </row>
    <row r="50" ht="45" customHeight="1">
      <c r="A50" s="3" t="inlineStr">
        <is>
          <t>S-049</t>
        </is>
      </c>
      <c r="B50" s="3" t="inlineStr">
        <is>
          <t>E1-049</t>
        </is>
      </c>
      <c r="C50" s="3" t="inlineStr">
        <is>
          <t>RETAIN</t>
        </is>
      </c>
      <c r="D50" s="3" t="inlineStr">
        <is>
          <t>Retained under the four-stratum quota.</t>
        </is>
      </c>
      <c r="E50" s="5" t="inlineStr">
        <is>
          <t>https://hcrlab.cs.washington.edu/assets/pdfs/2015/huang2015ubicomp.pdf</t>
        </is>
      </c>
      <c r="F50" s="3" t="inlineStr">
        <is>
          <t>Table 4 P5</t>
        </is>
      </c>
      <c r="G50" s="3" t="inlineStr">
        <is>
          <t>You want a pot of coffee to be brewed when it’s below 40 degrees outside, but only before 10:00 am every day.</t>
        </is>
      </c>
    </row>
    <row r="51" ht="45" customHeight="1">
      <c r="A51" s="3" t="inlineStr">
        <is>
          <t>S-050</t>
        </is>
      </c>
      <c r="B51" s="3" t="inlineStr">
        <is>
          <t>E1-050</t>
        </is>
      </c>
      <c r="C51" s="3" t="inlineStr">
        <is>
          <t>RETAIN</t>
        </is>
      </c>
      <c r="D51" s="3" t="inlineStr">
        <is>
          <t>Retained under the four-stratum quota.</t>
        </is>
      </c>
      <c r="E51" s="5" t="inlineStr">
        <is>
          <t>https://hcrlab.cs.washington.edu/assets/pdfs/2015/huang2015ubicomp.pdf</t>
        </is>
      </c>
      <c r="F51" s="3" t="inlineStr">
        <is>
          <t>Table 5 Q1</t>
        </is>
      </c>
      <c r="G51" s="3" t="inlineStr">
        <is>
          <t>If the time is 6:00 pm, then turn the lights on</t>
        </is>
      </c>
    </row>
    <row r="52" ht="45" customHeight="1">
      <c r="A52" s="3" t="inlineStr">
        <is>
          <t>S-051</t>
        </is>
      </c>
      <c r="B52" s="3" t="inlineStr">
        <is>
          <t>E1-051</t>
        </is>
      </c>
      <c r="C52" s="3" t="inlineStr">
        <is>
          <t>RETAIN</t>
        </is>
      </c>
      <c r="D52" s="3" t="inlineStr">
        <is>
          <t>Retained under the four-stratum quota.</t>
        </is>
      </c>
      <c r="E52" s="5" t="inlineStr">
        <is>
          <t>https://hcrlab.cs.washington.edu/assets/pdfs/2015/huang2015ubicomp.pdf</t>
        </is>
      </c>
      <c r="F52" s="3" t="inlineStr">
        <is>
          <t>Table 5 Q2</t>
        </is>
      </c>
      <c r="G52" s="3" t="inlineStr">
        <is>
          <t>If I arrive at home and the time is between 6:00 - 11:00 pm, then turn the lights on</t>
        </is>
      </c>
    </row>
    <row r="53" ht="45" customHeight="1">
      <c r="A53" s="3" t="inlineStr">
        <is>
          <t>S-052</t>
        </is>
      </c>
      <c r="B53" s="3" t="inlineStr">
        <is>
          <t>E1-052</t>
        </is>
      </c>
      <c r="C53" s="3" t="inlineStr">
        <is>
          <t>RETAIN</t>
        </is>
      </c>
      <c r="D53" s="3" t="inlineStr">
        <is>
          <t>Retained under the four-stratum quota.</t>
        </is>
      </c>
      <c r="E53" s="5" t="inlineStr">
        <is>
          <t>https://hcrlab.cs.washington.edu/assets/pdfs/2015/huang2015ubicomp.pdf</t>
        </is>
      </c>
      <c r="F53" s="3" t="inlineStr">
        <is>
          <t>Table 5 Q4</t>
        </is>
      </c>
      <c r="G53" s="3" t="inlineStr">
        <is>
          <t>If it is snowing, then turn the thermostat to 75 degrees F</t>
        </is>
      </c>
    </row>
    <row r="54" ht="45" customHeight="1">
      <c r="A54" s="3" t="inlineStr">
        <is>
          <t>S-053</t>
        </is>
      </c>
      <c r="B54" s="3" t="inlineStr">
        <is>
          <t>E1-053</t>
        </is>
      </c>
      <c r="C54" s="3" t="inlineStr">
        <is>
          <t>RETAIN</t>
        </is>
      </c>
      <c r="D54" s="3" t="inlineStr">
        <is>
          <t>Retained under the four-stratum quota.</t>
        </is>
      </c>
      <c r="E54" s="5" t="inlineStr">
        <is>
          <t>https://hcrlab.cs.washington.edu/assets/pdfs/2015/huang2015ubicomp.pdf</t>
        </is>
      </c>
      <c r="F54" s="3" t="inlineStr">
        <is>
          <t>Table 5 Q5</t>
        </is>
      </c>
      <c r="G54" s="3" t="inlineStr">
        <is>
          <t>If the time is between 7:00 am and 10:00 am and the outside temperature is below 40 degrees, then brew a pot of coffee</t>
        </is>
      </c>
    </row>
    <row r="55" ht="45" customHeight="1">
      <c r="A55" s="3" t="inlineStr">
        <is>
          <t>S-054</t>
        </is>
      </c>
      <c r="B55" s="3" t="inlineStr">
        <is>
          <t>E1-054</t>
        </is>
      </c>
      <c r="C55" s="3" t="inlineStr">
        <is>
          <t>RETAIN</t>
        </is>
      </c>
      <c r="D55" s="3" t="inlineStr">
        <is>
          <t>Retained under the four-stratum quota.</t>
        </is>
      </c>
      <c r="E55" s="5" t="inlineStr">
        <is>
          <t>https://developers.home.google.com/automations/example-scripts</t>
        </is>
      </c>
      <c r="F55" s="3" t="inlineStr">
        <is>
          <t>Section: Control a light with a switch</t>
        </is>
      </c>
      <c r="G55" s="3" t="inlineStr">
        <is>
          <t>When a switch is moved to the on position, turn on a light.</t>
        </is>
      </c>
    </row>
    <row r="56" ht="45" customHeight="1">
      <c r="A56" s="3" t="inlineStr">
        <is>
          <t>S-055</t>
        </is>
      </c>
      <c r="B56" s="3" t="inlineStr">
        <is>
          <t>E1-055</t>
        </is>
      </c>
      <c r="C56" s="3" t="inlineStr">
        <is>
          <t>RETAIN</t>
        </is>
      </c>
      <c r="D56" s="3" t="inlineStr">
        <is>
          <t>Retained under the four-stratum quota.</t>
        </is>
      </c>
      <c r="E56" s="5" t="inlineStr">
        <is>
          <t>https://developers.home.google.com/automations/example-scripts</t>
        </is>
      </c>
      <c r="F56" s="3" t="inlineStr">
        <is>
          <t>Section: Schedule lights and blinds</t>
        </is>
      </c>
      <c r="G56" s="3" t="inlineStr">
        <is>
          <t>At 10pm, dim the lights and close the blinds.</t>
        </is>
      </c>
    </row>
    <row r="57" ht="45" customHeight="1">
      <c r="A57" s="3" t="inlineStr">
        <is>
          <t>S-056</t>
        </is>
      </c>
      <c r="B57" s="3" t="inlineStr">
        <is>
          <t>E1-056</t>
        </is>
      </c>
      <c r="C57" s="3" t="inlineStr">
        <is>
          <t>RETAIN</t>
        </is>
      </c>
      <c r="D57" s="3" t="inlineStr">
        <is>
          <t>Retained under the four-stratum quota.</t>
        </is>
      </c>
      <c r="E57" s="5" t="inlineStr">
        <is>
          <t>https://developers.home.google.com/automations/example-scripts</t>
        </is>
      </c>
      <c r="F57" s="3" t="inlineStr">
        <is>
          <t>Section: Control camera based on household presence</t>
        </is>
      </c>
      <c r="G57" s="3" t="inlineStr">
        <is>
          <t>When the first person comes home, turn off cameras.</t>
        </is>
      </c>
    </row>
    <row r="58" ht="45" customHeight="1">
      <c r="A58" s="3" t="inlineStr">
        <is>
          <t>S-057</t>
        </is>
      </c>
      <c r="B58" s="3" t="inlineStr">
        <is>
          <t>E1-057</t>
        </is>
      </c>
      <c r="C58" s="3" t="inlineStr">
        <is>
          <t>RETAIN</t>
        </is>
      </c>
      <c r="D58" s="3" t="inlineStr">
        <is>
          <t>Retained under the four-stratum quota.</t>
        </is>
      </c>
      <c r="E58" s="5" t="inlineStr">
        <is>
          <t>https://developers.home.google.com/automations/example-scripts</t>
        </is>
      </c>
      <c r="F58" s="3" t="inlineStr">
        <is>
          <t>Section: Vacuum while everyone is away</t>
        </is>
      </c>
      <c r="G58" s="3" t="inlineStr">
        <is>
          <t>When the home is unoccupied, run the vacuum; when someone is home, stop the vacuum.</t>
        </is>
      </c>
    </row>
    <row r="59" ht="45" customHeight="1">
      <c r="A59" s="3" t="inlineStr">
        <is>
          <t>S-058</t>
        </is>
      </c>
      <c r="B59" s="3" t="inlineStr">
        <is>
          <t>E1-058</t>
        </is>
      </c>
      <c r="C59" s="3" t="inlineStr">
        <is>
          <t>RETAIN</t>
        </is>
      </c>
      <c r="D59" s="3" t="inlineStr">
        <is>
          <t>Retained under the four-stratum quota.</t>
        </is>
      </c>
      <c r="E59" s="5" t="inlineStr">
        <is>
          <t>https://developers.home.google.com/automations/example-scripts</t>
        </is>
      </c>
      <c r="F59" s="3" t="inlineStr">
        <is>
          <t>Section: Dim lights and lower blinds when living room TV is on after dark</t>
        </is>
      </c>
      <c r="G59" s="3" t="inlineStr">
        <is>
          <t>After dark, when the TV is on, dim the light and lower the blinds.</t>
        </is>
      </c>
    </row>
    <row r="60" ht="45" customHeight="1">
      <c r="A60" s="3" t="inlineStr">
        <is>
          <t>S-059</t>
        </is>
      </c>
      <c r="B60" s="3" t="inlineStr">
        <is>
          <t>E1-059</t>
        </is>
      </c>
      <c r="C60" s="3" t="inlineStr">
        <is>
          <t>RETAIN</t>
        </is>
      </c>
      <c r="D60" s="3" t="inlineStr">
        <is>
          <t>Retained under the four-stratum quota.</t>
        </is>
      </c>
      <c r="E60" s="5" t="inlineStr">
        <is>
          <t>https://developers.home.google.com/automations/example-scripts</t>
        </is>
      </c>
      <c r="F60" s="3" t="inlineStr">
        <is>
          <t>Section: Cool weather heating</t>
        </is>
      </c>
      <c r="G60" s="3" t="inlineStr">
        <is>
          <t>If it is cool, open blinds, turn on fans, and adjust thermostats.</t>
        </is>
      </c>
    </row>
    <row r="61" ht="45" customHeight="1">
      <c r="A61" s="3" t="inlineStr">
        <is>
          <t>S-060</t>
        </is>
      </c>
      <c r="B61" s="3" t="inlineStr">
        <is>
          <t>E1-060</t>
        </is>
      </c>
      <c r="C61" s="3" t="inlineStr">
        <is>
          <t>RETAIN</t>
        </is>
      </c>
      <c r="D61" s="3" t="inlineStr">
        <is>
          <t>Retained under the four-stratum quota.</t>
        </is>
      </c>
      <c r="E61" s="5" t="inlineStr">
        <is>
          <t>https://developers.home.google.com/automations/example-scripts</t>
        </is>
      </c>
      <c r="F61" s="3" t="inlineStr">
        <is>
          <t>Section: Warm weather ventilation</t>
        </is>
      </c>
      <c r="G61" s="3" t="inlineStr">
        <is>
          <t>If it is warm, close blinds, turn on fans, and adjust thermostats.</t>
        </is>
      </c>
    </row>
    <row r="62" ht="45" customHeight="1">
      <c r="A62" s="3" t="inlineStr">
        <is>
          <t>S-061</t>
        </is>
      </c>
      <c r="B62" s="3" t="inlineStr">
        <is>
          <t>E1-061</t>
        </is>
      </c>
      <c r="C62" s="3" t="inlineStr">
        <is>
          <t>RETAIN</t>
        </is>
      </c>
      <c r="D62" s="3" t="inlineStr">
        <is>
          <t>Retained under the four-stratum quota.</t>
        </is>
      </c>
      <c r="E62" s="5" t="inlineStr">
        <is>
          <t>https://developers.home.google.com/automations/example-scripts</t>
        </is>
      </c>
      <c r="F62" s="3" t="inlineStr">
        <is>
          <t>Section: Scheduled lighting with multiple times</t>
        </is>
      </c>
      <c r="G62" s="3" t="inlineStr">
        <is>
          <t>Turn on the lights at sunset, dim them at 10pm and turn them off at midnight.</t>
        </is>
      </c>
    </row>
    <row r="63" ht="45" customHeight="1">
      <c r="A63" s="3" t="inlineStr">
        <is>
          <t>S-062</t>
        </is>
      </c>
      <c r="B63" s="3" t="inlineStr">
        <is>
          <t>E1-062</t>
        </is>
      </c>
      <c r="C63" s="3" t="inlineStr">
        <is>
          <t>RETAIN</t>
        </is>
      </c>
      <c r="D63" s="3" t="inlineStr">
        <is>
          <t>Retained under the four-stratum quota.</t>
        </is>
      </c>
      <c r="E63" s="5" t="inlineStr">
        <is>
          <t>https://developers.home.google.com/automations/example-scripts</t>
        </is>
      </c>
      <c r="F63" s="3" t="inlineStr">
        <is>
          <t>Section: Synchronize two lights</t>
        </is>
      </c>
      <c r="G63" s="3" t="inlineStr">
        <is>
          <t>If one light is turned on, turn the other on, and if one light is turned off, turn the other off.</t>
        </is>
      </c>
    </row>
    <row r="64" ht="45" customHeight="1">
      <c r="A64" s="3" t="inlineStr">
        <is>
          <t>S-063</t>
        </is>
      </c>
      <c r="B64" s="3" t="inlineStr">
        <is>
          <t>E1-063</t>
        </is>
      </c>
      <c r="C64" s="3" t="inlineStr">
        <is>
          <t>RETAIN</t>
        </is>
      </c>
      <c r="D64" s="3" t="inlineStr">
        <is>
          <t>Retained under the four-stratum quota.</t>
        </is>
      </c>
      <c r="E64" s="5" t="inlineStr">
        <is>
          <t>https://developers.home.google.com/automations/example-scripts</t>
        </is>
      </c>
      <c r="F64" s="3" t="inlineStr">
        <is>
          <t>Section: Flash lights when smoke alarm is active</t>
        </is>
      </c>
      <c r="G64" s="3" t="inlineStr">
        <is>
          <t>When smoke is detected, flash lights red and blue.</t>
        </is>
      </c>
    </row>
    <row r="65" ht="45" customHeight="1">
      <c r="A65" s="3" t="inlineStr">
        <is>
          <t>S-064</t>
        </is>
      </c>
      <c r="B65" s="3" t="inlineStr">
        <is>
          <t>E1-064</t>
        </is>
      </c>
      <c r="C65" s="3" t="inlineStr">
        <is>
          <t>RETAIN</t>
        </is>
      </c>
      <c r="D65" s="3" t="inlineStr">
        <is>
          <t>Retained under the four-stratum quota.</t>
        </is>
      </c>
      <c r="E65" s="5" t="inlineStr">
        <is>
          <t>https://developers.home.google.com/automations/example-scripts</t>
        </is>
      </c>
      <c r="F65" s="3" t="inlineStr">
        <is>
          <t>Section: Turn on air purifier when indoor air quality is poor</t>
        </is>
      </c>
      <c r="G65" s="3" t="inlineStr">
        <is>
          <t>When indoor air quality is poor turn on air purifier at high speed.</t>
        </is>
      </c>
    </row>
    <row r="66" ht="45" customHeight="1">
      <c r="A66" s="3" t="inlineStr">
        <is>
          <t>S-065</t>
        </is>
      </c>
      <c r="B66" s="3" t="inlineStr">
        <is>
          <t>E1-065</t>
        </is>
      </c>
      <c r="C66" s="3" t="inlineStr">
        <is>
          <t>RETAIN</t>
        </is>
      </c>
      <c r="D66" s="3" t="inlineStr">
        <is>
          <t>Retained under the four-stratum quota.</t>
        </is>
      </c>
      <c r="E66" s="5" t="inlineStr">
        <is>
          <t>https://developers.home.google.com/automations/example-scripts</t>
        </is>
      </c>
      <c r="F66" s="3" t="inlineStr">
        <is>
          <t>Section: Nighttime unlock alert</t>
        </is>
      </c>
      <c r="G66" s="3" t="inlineStr">
        <is>
          <t>At night, when a lock is unlocked, turn on the light at full brightness.</t>
        </is>
      </c>
    </row>
    <row r="67" ht="45" customHeight="1">
      <c r="A67" s="3" t="inlineStr">
        <is>
          <t>S-066</t>
        </is>
      </c>
      <c r="B67" s="3" t="inlineStr">
        <is>
          <t>E1-066</t>
        </is>
      </c>
      <c r="C67" s="3" t="inlineStr">
        <is>
          <t>RETAIN</t>
        </is>
      </c>
      <c r="D67" s="3" t="inlineStr">
        <is>
          <t>Retained under the four-stratum quota.</t>
        </is>
      </c>
      <c r="E67" s="5" t="inlineStr">
        <is>
          <t>https://developers.home.google.com/automations/example-scripts</t>
        </is>
      </c>
      <c r="F67" s="3" t="inlineStr">
        <is>
          <t>Section: Flash lights when carbon monoxide detected</t>
        </is>
      </c>
      <c r="G67" s="3" t="inlineStr">
        <is>
          <t>When carbon monoxide is detected, flash the lights.</t>
        </is>
      </c>
    </row>
    <row r="68" ht="45" customHeight="1">
      <c r="A68" s="3" t="inlineStr">
        <is>
          <t>S-067</t>
        </is>
      </c>
      <c r="B68" s="3" t="inlineStr">
        <is>
          <t>E1-067</t>
        </is>
      </c>
      <c r="C68" s="3" t="inlineStr">
        <is>
          <t>RETAIN</t>
        </is>
      </c>
      <c r="D68" s="3" t="inlineStr">
        <is>
          <t>Retained under the four-stratum quota.</t>
        </is>
      </c>
      <c r="E68" s="5" t="inlineStr">
        <is>
          <t>https://developers.home.google.com/automations/example-scripts</t>
        </is>
      </c>
      <c r="F68" s="3" t="inlineStr">
        <is>
          <t>Section: Motion triggered lights</t>
        </is>
      </c>
      <c r="G68" s="3" t="inlineStr">
        <is>
          <t>When motion is detected, turn on the lights, then turn them off after five minutes of stillness.</t>
        </is>
      </c>
    </row>
    <row r="69" ht="45" customHeight="1">
      <c r="A69" s="3" t="inlineStr">
        <is>
          <t>S-068</t>
        </is>
      </c>
      <c r="B69" s="3" t="inlineStr">
        <is>
          <t>E1-068</t>
        </is>
      </c>
      <c r="C69" s="3" t="inlineStr">
        <is>
          <t>RETAIN</t>
        </is>
      </c>
      <c r="D69" s="3" t="inlineStr">
        <is>
          <t>Retained under the four-stratum quota.</t>
        </is>
      </c>
      <c r="E69" s="5" t="inlineStr">
        <is>
          <t>https://developers.home.google.com/automations/example-scripts</t>
        </is>
      </c>
      <c r="F69" s="3" t="inlineStr">
        <is>
          <t>Section: Motion triggered lights with occupancy sensor</t>
        </is>
      </c>
      <c r="G69" s="3" t="inlineStr">
        <is>
          <t>When an occupant is detected, turn on the lights, then turn them off after five minutes.</t>
        </is>
      </c>
    </row>
    <row r="70" ht="45" customHeight="1">
      <c r="A70" s="3" t="inlineStr">
        <is>
          <t>S-069</t>
        </is>
      </c>
      <c r="B70" s="3" t="inlineStr">
        <is>
          <t>E1-069</t>
        </is>
      </c>
      <c r="C70" s="3" t="inlineStr">
        <is>
          <t>RETAIN</t>
        </is>
      </c>
      <c r="D70" s="3" t="inlineStr">
        <is>
          <t>Retained under the four-stratum quota.</t>
        </is>
      </c>
      <c r="E70" s="5" t="inlineStr">
        <is>
          <t>https://developers.home.google.com/automations/example-scripts</t>
        </is>
      </c>
      <c r="F70" s="3" t="inlineStr">
        <is>
          <t>Section: Turn on cameras when leaving home</t>
        </is>
      </c>
      <c r="G70" s="3" t="inlineStr">
        <is>
          <t>Once the home is unoccupied, turn on cameras.</t>
        </is>
      </c>
    </row>
    <row r="71" ht="45" customHeight="1">
      <c r="A71" s="3" t="inlineStr">
        <is>
          <t>S-070</t>
        </is>
      </c>
      <c r="B71" s="3" t="inlineStr">
        <is>
          <t>E1-070</t>
        </is>
      </c>
      <c r="C71" s="3" t="inlineStr">
        <is>
          <t>RETAIN</t>
        </is>
      </c>
      <c r="D71" s="3" t="inlineStr">
        <is>
          <t>Retained under the four-stratum quota.</t>
        </is>
      </c>
      <c r="E71" s="5" t="inlineStr">
        <is>
          <t>https://developers.home.google.com/automations/example-scripts</t>
        </is>
      </c>
      <c r="F71" s="3" t="inlineStr">
        <is>
          <t>Section: Doorbell light alert</t>
        </is>
      </c>
      <c r="G71" s="3" t="inlineStr">
        <is>
          <t>When someone rings the doorbell, blink the lights in occupied room.</t>
        </is>
      </c>
    </row>
    <row r="72" ht="45" customHeight="1">
      <c r="A72" s="3" t="inlineStr">
        <is>
          <t>S-071</t>
        </is>
      </c>
      <c r="B72" s="3" t="inlineStr">
        <is>
          <t>E1-071</t>
        </is>
      </c>
      <c r="C72" s="3" t="inlineStr">
        <is>
          <t>RETAIN</t>
        </is>
      </c>
      <c r="D72" s="3" t="inlineStr">
        <is>
          <t>Retained under the four-stratum quota.</t>
        </is>
      </c>
      <c r="E72" s="5" t="inlineStr">
        <is>
          <t>https://developers.home.google.com/automations/example-scripts</t>
        </is>
      </c>
      <c r="F72" s="3" t="inlineStr">
        <is>
          <t>Section: Movie night scene</t>
        </is>
      </c>
      <c r="G72" s="3" t="inlineStr">
        <is>
          <t>When Assistant hears the utterance "movie night", lower the blinds, turn off the lights, and pause certain noisy appliances.</t>
        </is>
      </c>
    </row>
    <row r="73" ht="45" customHeight="1">
      <c r="A73" s="3" t="inlineStr">
        <is>
          <t>S-072</t>
        </is>
      </c>
      <c r="B73" s="3" t="inlineStr">
        <is>
          <t>E1-072</t>
        </is>
      </c>
      <c r="C73" s="3" t="inlineStr">
        <is>
          <t>RETAIN</t>
        </is>
      </c>
      <c r="D73" s="3" t="inlineStr">
        <is>
          <t>Retained under the four-stratum quota.</t>
        </is>
      </c>
      <c r="E73" s="5" t="inlineStr">
        <is>
          <t>https://developers.home.google.com/automations/example-scripts</t>
        </is>
      </c>
      <c r="F73" s="3" t="inlineStr">
        <is>
          <t>Section: Home and away lighting</t>
        </is>
      </c>
      <c r="G73" s="3" t="inlineStr">
        <is>
          <t>After dark, when someone arrives home, turn on lights, and turn off all lights when the home is unoccupied.</t>
        </is>
      </c>
    </row>
    <row r="74" ht="45" customHeight="1">
      <c r="A74" s="3" t="inlineStr">
        <is>
          <t>S-073</t>
        </is>
      </c>
      <c r="B74" s="3" t="inlineStr">
        <is>
          <t>E1-073</t>
        </is>
      </c>
      <c r="C74" s="3" t="inlineStr">
        <is>
          <t>RETAIN</t>
        </is>
      </c>
      <c r="D74" s="3" t="inlineStr">
        <is>
          <t>Retained under the four-stratum quota.</t>
        </is>
      </c>
      <c r="E74" s="5" t="inlineStr">
        <is>
          <t>https://developers.home.google.com/automations/example-scripts</t>
        </is>
      </c>
      <c r="F74" s="3" t="inlineStr">
        <is>
          <t>Section: Send a notification when a package is delivered</t>
        </is>
      </c>
      <c r="G74" s="3" t="inlineStr">
        <is>
          <t>When a package is delivered, send a notification.</t>
        </is>
      </c>
    </row>
    <row r="75" ht="45" customHeight="1">
      <c r="A75" s="3" t="inlineStr">
        <is>
          <t>S-074</t>
        </is>
      </c>
      <c r="B75" s="3" t="inlineStr">
        <is>
          <t>E1-074</t>
        </is>
      </c>
      <c r="C75" s="3" t="inlineStr">
        <is>
          <t>RETAIN</t>
        </is>
      </c>
      <c r="D75" s="3" t="inlineStr">
        <is>
          <t>Retained under the four-stratum quota.</t>
        </is>
      </c>
      <c r="E75" s="5" t="inlineStr">
        <is>
          <t>https://developers.home.google.com/automations/example-scripts</t>
        </is>
      </c>
      <c r="F75" s="3" t="inlineStr">
        <is>
          <t>Section: When I walk through my corridor first time (motion sensor) in the morning open all my blinds and suppress the trigger for 20 hours</t>
        </is>
      </c>
      <c r="G75" s="3" t="inlineStr">
        <is>
          <t>Open blinds in the morning after motion is detected; suppress the trigger for 20 hours.</t>
        </is>
      </c>
    </row>
    <row r="76" ht="45" customHeight="1">
      <c r="A76" s="3" t="inlineStr">
        <is>
          <t>S-075</t>
        </is>
      </c>
      <c r="B76" s="3" t="inlineStr">
        <is>
          <t>E1-075</t>
        </is>
      </c>
      <c r="C76" s="3" t="inlineStr">
        <is>
          <t>RETAIN</t>
        </is>
      </c>
      <c r="D76" s="3" t="inlineStr">
        <is>
          <t>Retained under the four-stratum quota.</t>
        </is>
      </c>
      <c r="E76" s="5" t="inlineStr">
        <is>
          <t>https://developers.home.google.com/automations/example-scripts</t>
        </is>
      </c>
      <c r="F76" s="3" t="inlineStr">
        <is>
          <t>Section: Send a notification when movement is detected at home on a weekday</t>
        </is>
      </c>
      <c r="G76" s="3" t="inlineStr">
        <is>
          <t>Send a notification when movement is detected at home on a weekday between 09:00 and 18:00.</t>
        </is>
      </c>
    </row>
    <row r="77" ht="45" customHeight="1">
      <c r="A77" s="3" t="inlineStr">
        <is>
          <t>S-076</t>
        </is>
      </c>
      <c r="B77" s="3" t="inlineStr">
        <is>
          <t>E1-076</t>
        </is>
      </c>
      <c r="C77" s="3" t="inlineStr">
        <is>
          <t>RETAIN</t>
        </is>
      </c>
      <c r="D77" s="3" t="inlineStr">
        <is>
          <t>Retained under the four-stratum quota.</t>
        </is>
      </c>
      <c r="E77" s="5" t="inlineStr">
        <is>
          <t>https://github.com/home-assistant/core/blob/dev/homeassistant/components/automation/blueprints/notify_leaving_zone.yaml</t>
        </is>
      </c>
      <c r="F77" s="3" t="inlineStr">
        <is>
          <t>blueprint.description</t>
        </is>
      </c>
      <c r="G77" s="3" t="inlineStr">
        <is>
          <t>Send a notification to a device when a person leaves a specific zone.</t>
        </is>
      </c>
    </row>
    <row r="78" ht="45" customHeight="1">
      <c r="A78" s="3" t="inlineStr">
        <is>
          <t>S-077</t>
        </is>
      </c>
      <c r="B78" s="3" t="inlineStr">
        <is>
          <t>E1-077</t>
        </is>
      </c>
      <c r="C78" s="3" t="inlineStr">
        <is>
          <t>RETAIN</t>
        </is>
      </c>
      <c r="D78" s="3" t="inlineStr">
        <is>
          <t>Retained under the four-stratum quota.</t>
        </is>
      </c>
      <c r="E78" s="5" t="inlineStr">
        <is>
          <t>https://www.home-assistant.io/docs/automation/trigger/</t>
        </is>
      </c>
      <c r="F78" s="3" t="inlineStr">
        <is>
          <t>Sun elevation trigger example</t>
        </is>
      </c>
      <c r="G78" s="3" t="inlineStr">
        <is>
          <t>Turn on exterior lighting when the sun elevation falls below -4.0 degrees.</t>
        </is>
      </c>
    </row>
    <row r="79" ht="45" customHeight="1">
      <c r="A79" s="3" t="inlineStr">
        <is>
          <t>S-078</t>
        </is>
      </c>
      <c r="B79" s="3" t="inlineStr">
        <is>
          <t>E1-078</t>
        </is>
      </c>
      <c r="C79" s="3" t="inlineStr">
        <is>
          <t>RETAIN</t>
        </is>
      </c>
      <c r="D79" s="3" t="inlineStr">
        <is>
          <t>Retained under the four-stratum quota.</t>
        </is>
      </c>
      <c r="E79" s="5" t="inlineStr">
        <is>
          <t>https://community.home-assistant.io/t/combination-of-motion-and-illuminance-sensor-to-control-light-bulb/995590</t>
        </is>
      </c>
      <c r="F79" s="3" t="inlineStr">
        <is>
          <t>opening post (created 2026-03-14 UTC)</t>
        </is>
      </c>
      <c r="G79" s="3" t="inlineStr">
        <is>
          <t>Turn light ON when motion detected, turn off in 5 min; turn light ON when Lux drops below X lux, turn off in 5 min; should not turn ON light when light OFF by HA.</t>
        </is>
      </c>
    </row>
    <row r="80" ht="45" customHeight="1">
      <c r="A80" s="3" t="inlineStr">
        <is>
          <t>S-079</t>
        </is>
      </c>
      <c r="B80" s="3" t="inlineStr">
        <is>
          <t>E1-079</t>
        </is>
      </c>
      <c r="C80" s="3" t="inlineStr">
        <is>
          <t>RETAIN</t>
        </is>
      </c>
      <c r="D80" s="3" t="inlineStr">
        <is>
          <t>Retained under the four-stratum quota.</t>
        </is>
      </c>
      <c r="E80" s="5" t="inlineStr">
        <is>
          <t>https://community.home-assistant.io/t/trigger-automation-every-minute-unless-it-has-been-triggered-by-something-else/864628</t>
        </is>
      </c>
      <c r="F80" s="3" t="inlineStr">
        <is>
          <t>opening post (created 2025-03-16 UTC)</t>
        </is>
      </c>
      <c r="G80" s="3" t="inlineStr">
        <is>
          <t>If there are no new sensor values, trigger the automation once every minute; normal sensor values arrive every 10 seconds.</t>
        </is>
      </c>
    </row>
    <row r="81" ht="45" customHeight="1">
      <c r="A81" s="3" t="inlineStr">
        <is>
          <t>S-080</t>
        </is>
      </c>
      <c r="B81" s="3" t="inlineStr">
        <is>
          <t>E1-080</t>
        </is>
      </c>
      <c r="C81" s="3" t="inlineStr">
        <is>
          <t>RETAIN</t>
        </is>
      </c>
      <c r="D81" s="3" t="inlineStr">
        <is>
          <t>Retained under the four-stratum quota.</t>
        </is>
      </c>
      <c r="E81" s="5" t="inlineStr">
        <is>
          <t>https://community.home-assistant.io/t/automation-arm-alarm-when-everyone-is-away/408113</t>
        </is>
      </c>
      <c r="F81" s="3" t="inlineStr">
        <is>
          <t>opening post (created 2022-04-03 UTC)</t>
        </is>
      </c>
      <c r="G81" s="3" t="inlineStr">
        <is>
          <t>Arm an alarm to away when all people are away.</t>
        </is>
      </c>
    </row>
    <row r="82" ht="45" customHeight="1">
      <c r="A82" s="3" t="inlineStr">
        <is>
          <t>S-081</t>
        </is>
      </c>
      <c r="B82" s="3" t="inlineStr">
        <is>
          <t>E1-081</t>
        </is>
      </c>
      <c r="C82" s="3" t="inlineStr">
        <is>
          <t>RETAIN</t>
        </is>
      </c>
      <c r="D82" s="3" t="inlineStr">
        <is>
          <t>Retained under the four-stratum quota.</t>
        </is>
      </c>
      <c r="E82" s="5" t="inlineStr">
        <is>
          <t>https://community.home-assistant.io/t/how-to-reliably-design-making-an-announcement-every-5-mins-until-a-binary-sensor-is-off/721406</t>
        </is>
      </c>
      <c r="F82" s="3" t="inlineStr">
        <is>
          <t>opening post (created 2024-04-24 UTC)</t>
        </is>
      </c>
      <c r="G82" s="3" t="inlineStr">
        <is>
          <t>Keep nagging me every 5 minutes, up to 3 times, as long as the presence binary sensor remains TRUE.</t>
        </is>
      </c>
    </row>
    <row r="83" ht="45" customHeight="1">
      <c r="A83" s="3" t="inlineStr">
        <is>
          <t>S-082</t>
        </is>
      </c>
      <c r="B83" s="3" t="inlineStr">
        <is>
          <t>E1-082</t>
        </is>
      </c>
      <c r="C83" s="3" t="inlineStr">
        <is>
          <t>RETAIN</t>
        </is>
      </c>
      <c r="D83" s="3" t="inlineStr">
        <is>
          <t>Retained under the four-stratum quota.</t>
        </is>
      </c>
      <c r="E83" s="5" t="inlineStr">
        <is>
          <t>https://community.home-assistant.io/t/help-with-door-close-automation/600389</t>
        </is>
      </c>
      <c r="F83" s="3" t="inlineStr">
        <is>
          <t>opening post (created 2023-08-07 UTC)</t>
        </is>
      </c>
      <c r="G83" s="3" t="inlineStr">
        <is>
          <t>Get a notification if a door that was open for more than 5 minutes was closed.</t>
        </is>
      </c>
    </row>
    <row r="84" ht="45" customHeight="1">
      <c r="A84" s="3" t="inlineStr">
        <is>
          <t>S-083</t>
        </is>
      </c>
      <c r="B84" s="3" t="inlineStr">
        <is>
          <t>E1-083</t>
        </is>
      </c>
      <c r="C84" s="3" t="inlineStr">
        <is>
          <t>RETAIN</t>
        </is>
      </c>
      <c r="D84" s="3" t="inlineStr">
        <is>
          <t>Retained under the four-stratum quota.</t>
        </is>
      </c>
      <c r="E84" s="5" t="inlineStr">
        <is>
          <t>https://community.home-assistant.io/t/delayed-entity-aka-turn-this-on-for-x-minutes/958200</t>
        </is>
      </c>
      <c r="F84" s="3" t="inlineStr">
        <is>
          <t>opening post (created 2025-12-03 UTC)</t>
        </is>
      </c>
      <c r="G84" s="3" t="inlineStr">
        <is>
          <t>Turn off automatic door locking for a few hours and then resume normally; temporarily suspend the heat-pump algorithm and resume in a couple of hours.</t>
        </is>
      </c>
    </row>
    <row r="85" ht="45" customHeight="1">
      <c r="A85" s="3" t="inlineStr">
        <is>
          <t>S-084</t>
        </is>
      </c>
      <c r="B85" s="3" t="inlineStr">
        <is>
          <t>E1-084</t>
        </is>
      </c>
      <c r="C85" s="3" t="inlineStr">
        <is>
          <t>RETAIN</t>
        </is>
      </c>
      <c r="D85" s="3" t="inlineStr">
        <is>
          <t>Retained under the four-stratum quota.</t>
        </is>
      </c>
      <c r="E85" s="5" t="inlineStr">
        <is>
          <t>https://community.home-assistant.io/t/automation-to-turn-on-off-devices-at-different-times-days/566330</t>
        </is>
      </c>
      <c r="F85" s="3" t="inlineStr">
        <is>
          <t>opening post (created 2023-05-01 UTC)</t>
        </is>
      </c>
      <c r="G85" s="3" t="inlineStr">
        <is>
          <t>Turn lights on from 6 pm to 9 pm Sunday to Thursday and from 7 pm to 11 pm Friday and Saturday.</t>
        </is>
      </c>
    </row>
    <row r="86" ht="45" customHeight="1">
      <c r="A86" s="3" t="inlineStr">
        <is>
          <t>S-085</t>
        </is>
      </c>
      <c r="B86" s="3" t="inlineStr">
        <is>
          <t>E1-085</t>
        </is>
      </c>
      <c r="C86" s="3" t="inlineStr">
        <is>
          <t>RETAIN</t>
        </is>
      </c>
      <c r="D86" s="3" t="inlineStr">
        <is>
          <t>Retained under the four-stratum quota.</t>
        </is>
      </c>
      <c r="E86" s="5" t="inlineStr">
        <is>
          <t>https://community.home-assistant.io/t/how-to-trigger-an-automation-based-on-temperature-hysteresis/485629</t>
        </is>
      </c>
      <c r="F86" s="3" t="inlineStr">
        <is>
          <t>opening post (created 2022-11-07 UTC)</t>
        </is>
      </c>
      <c r="G86" s="3" t="inlineStr">
        <is>
          <t>When temperature drops below 19°C, turn heater on; when temperature raises above 19.5°C, turn heater off.</t>
        </is>
      </c>
    </row>
    <row r="87" ht="45" customHeight="1">
      <c r="A87" s="3" t="inlineStr">
        <is>
          <t>S-086</t>
        </is>
      </c>
      <c r="B87" s="3" t="inlineStr">
        <is>
          <t>E1-086</t>
        </is>
      </c>
      <c r="C87" s="3" t="inlineStr">
        <is>
          <t>RETAIN</t>
        </is>
      </c>
      <c r="D87" s="3" t="inlineStr">
        <is>
          <t>Retained under the four-stratum quota.</t>
        </is>
      </c>
      <c r="E87" s="5" t="inlineStr">
        <is>
          <t>https://community.home-assistant.io/t/stop-an-automation-mid-run-via-an-input-boolean/878961</t>
        </is>
      </c>
      <c r="F87" s="3" t="inlineStr">
        <is>
          <t>opening post (created 2025-04-17 UTC)</t>
        </is>
      </c>
      <c r="G87" s="3" t="inlineStr">
        <is>
          <t>Run sprinkler zone 1 for 10 minutes, wait 30 seconds, then zone 2 for 10 minutes; stop the entire automation mid-run if the input boolean is turned off.</t>
        </is>
      </c>
    </row>
    <row r="88" ht="45" customHeight="1">
      <c r="A88" s="3" t="inlineStr">
        <is>
          <t>S-087</t>
        </is>
      </c>
      <c r="B88" s="3" t="inlineStr">
        <is>
          <t>E1-087</t>
        </is>
      </c>
      <c r="C88" s="3" t="inlineStr">
        <is>
          <t>RETAIN</t>
        </is>
      </c>
      <c r="D88" s="3" t="inlineStr">
        <is>
          <t>Retained under the four-stratum quota.</t>
        </is>
      </c>
      <c r="E88" s="5" t="inlineStr">
        <is>
          <t>https://community.home-assistant.io/t/understanding-automations-with-time-delays-and-how-to-control-them/367362</t>
        </is>
      </c>
      <c r="F88" s="3" t="inlineStr">
        <is>
          <t>opening post (created 2021-12-15 UTC)</t>
        </is>
      </c>
      <c r="G88" s="3" t="inlineStr">
        <is>
          <t>Pressing a button turns on a light for exactly ten minutes, then turns it off; pressing again within the window restarts the ten-minute timer.</t>
        </is>
      </c>
    </row>
    <row r="89" ht="45" customHeight="1">
      <c r="A89" s="3" t="inlineStr">
        <is>
          <t>S-088</t>
        </is>
      </c>
      <c r="B89" s="3" t="inlineStr">
        <is>
          <t>E1-088</t>
        </is>
      </c>
      <c r="C89" s="3" t="inlineStr">
        <is>
          <t>RETAIN</t>
        </is>
      </c>
      <c r="D89" s="3" t="inlineStr">
        <is>
          <t>Retained under the four-stratum quota.</t>
        </is>
      </c>
      <c r="E89" s="5" t="inlineStr">
        <is>
          <t>https://community.home-assistant.io/t/how-to-enable-an-automation-between-times/712624</t>
        </is>
      </c>
      <c r="F89" s="3" t="inlineStr">
        <is>
          <t>opening post (created 2024-04-03 UTC)</t>
        </is>
      </c>
      <c r="G89" s="3" t="inlineStr">
        <is>
          <t>Between sunset minus two hours and sunset, turn den lights on if the weather becomes very overcast or rainy.</t>
        </is>
      </c>
    </row>
    <row r="90" ht="45" customHeight="1">
      <c r="A90" s="3" t="inlineStr">
        <is>
          <t>S-089</t>
        </is>
      </c>
      <c r="B90" s="3" t="inlineStr">
        <is>
          <t>E1-089</t>
        </is>
      </c>
      <c r="C90" s="3" t="inlineStr">
        <is>
          <t>RETAIN</t>
        </is>
      </c>
      <c r="D90" s="3" t="inlineStr">
        <is>
          <t>Retained under the four-stratum quota.</t>
        </is>
      </c>
      <c r="E90" s="5" t="inlineStr">
        <is>
          <t>https://community.home-assistant.io/t/evolution-of-an-automation-turn-a-light-on-off-at-sunset-sunrise/302465</t>
        </is>
      </c>
      <c r="F90" s="3" t="inlineStr">
        <is>
          <t>opening post (created 2021-04-24 UTC)</t>
        </is>
      </c>
      <c r="G90" s="3" t="inlineStr">
        <is>
          <t>Turn on a light just before sunset and turn it off just before sunrise; also handle missed events after Home Assistant restart.</t>
        </is>
      </c>
    </row>
    <row r="91" ht="45" customHeight="1">
      <c r="A91" s="3" t="inlineStr">
        <is>
          <t>S-090</t>
        </is>
      </c>
      <c r="B91" s="3" t="inlineStr">
        <is>
          <t>E1-090</t>
        </is>
      </c>
      <c r="C91" s="3" t="inlineStr">
        <is>
          <t>RETAIN</t>
        </is>
      </c>
      <c r="D91" s="3" t="inlineStr">
        <is>
          <t>Retained under the four-stratum quota.</t>
        </is>
      </c>
      <c r="E91" s="5" t="inlineStr">
        <is>
          <t>https://community.home-assistant.io/t/turn-something-on-for-a-set-time/670621</t>
        </is>
      </c>
      <c r="F91" s="3" t="inlineStr">
        <is>
          <t>opening post (created 2024-01-10 UTC)</t>
        </is>
      </c>
      <c r="G91" s="3" t="inlineStr">
        <is>
          <t>Given some trigger and conditions, turn something on for a set time and then off half an hour later.</t>
        </is>
      </c>
    </row>
    <row r="92" ht="45" customHeight="1">
      <c r="A92" s="3" t="inlineStr">
        <is>
          <t>S-091</t>
        </is>
      </c>
      <c r="B92" s="3" t="inlineStr">
        <is>
          <t>E1-091</t>
        </is>
      </c>
      <c r="C92" s="3" t="inlineStr">
        <is>
          <t>RETAIN</t>
        </is>
      </c>
      <c r="D92" s="3" t="inlineStr">
        <is>
          <t>Retained under the four-stratum quota.</t>
        </is>
      </c>
      <c r="E92" s="5" t="inlineStr">
        <is>
          <t>https://community.home-assistant.io/t/automation-to-run-every-5-minutes/987759</t>
        </is>
      </c>
      <c r="F92" s="3" t="inlineStr">
        <is>
          <t>opening post (created 2026-02-17 UTC)</t>
        </is>
      </c>
      <c r="G92" s="3" t="inlineStr">
        <is>
          <t>Every five minutes, check several radiator valve positions and notify when the specified joint condition holds.</t>
        </is>
      </c>
    </row>
    <row r="93" ht="45" customHeight="1">
      <c r="A93" s="3" t="inlineStr">
        <is>
          <t>S-092</t>
        </is>
      </c>
      <c r="B93" s="3" t="inlineStr">
        <is>
          <t>E1-092</t>
        </is>
      </c>
      <c r="C93" s="3" t="inlineStr">
        <is>
          <t>RETAIN</t>
        </is>
      </c>
      <c r="D93" s="3" t="inlineStr">
        <is>
          <t>Retained under the four-stratum quota.</t>
        </is>
      </c>
      <c r="E93" s="5" t="inlineStr">
        <is>
          <t>https://community.home-assistant.io/t/running-groups-of-actions-in-parallel/955561</t>
        </is>
      </c>
      <c r="F93" s="3" t="inlineStr">
        <is>
          <t>opening post (created 2025-11-26 UTC)</t>
        </is>
      </c>
      <c r="G93" s="3" t="inlineStr">
        <is>
          <t>Have Alexas tell tasks, news, and alarm settings while Home Assistant turns off lights, locks doors, and sets alarms; continue the house shutdown if Alexa communication fails.</t>
        </is>
      </c>
    </row>
    <row r="94" ht="45" customHeight="1">
      <c r="A94" s="3" t="inlineStr">
        <is>
          <t>S-093</t>
        </is>
      </c>
      <c r="B94" s="3" t="inlineStr">
        <is>
          <t>E1-093</t>
        </is>
      </c>
      <c r="C94" s="3" t="inlineStr">
        <is>
          <t>RETAIN</t>
        </is>
      </c>
      <c r="D94" s="3" t="inlineStr">
        <is>
          <t>Retained under the four-stratum quota.</t>
        </is>
      </c>
      <c r="E94" s="5" t="inlineStr">
        <is>
          <t>https://community.home-assistant.io/t/solved-automation-w-3-actions-notification-scripts-how-to-make-them-run-in-parallel/555703</t>
        </is>
      </c>
      <c r="F94" s="3" t="inlineStr">
        <is>
          <t>opening post (created 2023-04-03 UTC)</t>
        </is>
      </c>
      <c r="G94" s="3" t="inlineStr">
        <is>
          <t>When the doorbell triggers, run three scripts that display the door camera on a phone, tablet, and PC; delays in one script should not postpone the others.</t>
        </is>
      </c>
    </row>
    <row r="95" ht="45" customHeight="1">
      <c r="A95" s="3" t="inlineStr">
        <is>
          <t>S-094</t>
        </is>
      </c>
      <c r="B95" s="3" t="inlineStr">
        <is>
          <t>E1-094</t>
        </is>
      </c>
      <c r="C95" s="3" t="inlineStr">
        <is>
          <t>RETAIN</t>
        </is>
      </c>
      <c r="D95" s="3" t="inlineStr">
        <is>
          <t>Retained under the four-stratum quota.</t>
        </is>
      </c>
      <c r="E95" s="5" t="inlineStr">
        <is>
          <t>https://community.home-assistant.io/t/trying-to-create-action-in-parallel-with-delays-for-certain-actions-that-need-to-occur-sequentially/585191</t>
        </is>
      </c>
      <c r="F95" s="3" t="inlineStr">
        <is>
          <t>opening post (created 2023-06-24 UTC)</t>
        </is>
      </c>
      <c r="G95" s="3" t="inlineStr">
        <is>
          <t>In parallel, control multiple lights while preserving each light’s own fade, delay, and turn-off sequence.</t>
        </is>
      </c>
    </row>
    <row r="96" ht="45" customHeight="1">
      <c r="A96" s="3" t="inlineStr">
        <is>
          <t>S-095</t>
        </is>
      </c>
      <c r="B96" s="3" t="inlineStr">
        <is>
          <t>E1-095</t>
        </is>
      </c>
      <c r="C96" s="3" t="inlineStr">
        <is>
          <t>RETAIN</t>
        </is>
      </c>
      <c r="D96" s="3" t="inlineStr">
        <is>
          <t>Retained under the four-stratum quota.</t>
        </is>
      </c>
      <c r="E96" s="5" t="inlineStr">
        <is>
          <t>https://community.home-assistant.io/t/getting-an-average-reading-of-a-sensor-during-certain-hours/654561</t>
        </is>
      </c>
      <c r="F96" s="3" t="inlineStr">
        <is>
          <t>opening post (created 2023-12-12 UTC)</t>
        </is>
      </c>
      <c r="G96" s="3" t="inlineStr">
        <is>
          <t>Calculate the average pH and chlorine levels between 10:00 and 15:00 and report those readings daily.</t>
        </is>
      </c>
    </row>
    <row r="97" ht="45" customHeight="1">
      <c r="A97" s="3" t="inlineStr">
        <is>
          <t>S-096</t>
        </is>
      </c>
      <c r="B97" s="3" t="inlineStr">
        <is>
          <t>E1-096</t>
        </is>
      </c>
      <c r="C97" s="3" t="inlineStr">
        <is>
          <t>RETAIN</t>
        </is>
      </c>
      <c r="D97" s="3" t="inlineStr">
        <is>
          <t>Retained under the four-stratum quota.</t>
        </is>
      </c>
      <c r="E97" s="5" t="inlineStr">
        <is>
          <t>https://community.home-assistant.io/t/low-battery-notifications-actions/653754</t>
        </is>
      </c>
      <c r="F97" s="3" t="inlineStr">
        <is>
          <t>opening post (created 2023-12-11 UTC)</t>
        </is>
      </c>
      <c r="G97" s="3" t="inlineStr">
        <is>
          <t>At a chosen time and day, identify selected battery sensors below a warning threshold or unavailable/unknown and notify selected devices.</t>
        </is>
      </c>
    </row>
    <row r="98" ht="45" customHeight="1">
      <c r="A98" s="3" t="inlineStr">
        <is>
          <t>S-097</t>
        </is>
      </c>
      <c r="B98" s="3" t="inlineStr">
        <is>
          <t>E1-097</t>
        </is>
      </c>
      <c r="C98" s="3" t="inlineStr">
        <is>
          <t>RETAIN</t>
        </is>
      </c>
      <c r="D98" s="3" t="inlineStr">
        <is>
          <t>Retained under the four-stratum quota.</t>
        </is>
      </c>
      <c r="E98" s="5" t="inlineStr">
        <is>
          <t>https://community.home-assistant.io/t/smart-doorbell-button-zigbee-with-sound-lights-notifications-presence-awareness/892319</t>
        </is>
      </c>
      <c r="F98" s="3" t="inlineStr">
        <is>
          <t>opening post (created 2025-05-19 UTC)</t>
        </is>
      </c>
      <c r="G98" s="3" t="inlineStr">
        <is>
          <t>On a doorbell button, play sound, flash lights, and send notifications, with presence or zone conditions; run enabled actions at the same time.</t>
        </is>
      </c>
    </row>
    <row r="99" ht="45" customHeight="1">
      <c r="A99" s="3" t="inlineStr">
        <is>
          <t>S-098</t>
        </is>
      </c>
      <c r="B99" s="3" t="inlineStr">
        <is>
          <t>E1-098</t>
        </is>
      </c>
      <c r="C99" s="3" t="inlineStr">
        <is>
          <t>RETAIN</t>
        </is>
      </c>
      <c r="D99" s="3" t="inlineStr">
        <is>
          <t>Retained under the four-stratum quota.</t>
        </is>
      </c>
      <c r="E99" s="5" t="inlineStr">
        <is>
          <t>https://community.home-assistant.io/t/simple-washing-machine-finished-notification-power-sensor-helper-beginner-friendly/1024799</t>
        </is>
      </c>
      <c r="F99" s="3" t="inlineStr">
        <is>
          <t>opening post (created 2026-09-12 UTC)</t>
        </is>
      </c>
      <c r="G99" s="3" t="inlineStr">
        <is>
          <t>Detect that the washing machine started when power rises above a running threshold; after power stays below a finish threshold for a configured time, notify and reset for the next cycle.</t>
        </is>
      </c>
    </row>
    <row r="100" ht="45" customHeight="1">
      <c r="A100" s="3" t="inlineStr">
        <is>
          <t>S-099</t>
        </is>
      </c>
      <c r="B100" s="3" t="inlineStr">
        <is>
          <t>E1-099</t>
        </is>
      </c>
      <c r="C100" s="3" t="inlineStr">
        <is>
          <t>RETAIN</t>
        </is>
      </c>
      <c r="D100" s="3" t="inlineStr">
        <is>
          <t>Retained under the four-stratum quota.</t>
        </is>
      </c>
      <c r="E100" s="5" t="inlineStr">
        <is>
          <t>https://community.home-assistant.io/t/need-help-with-light-automation/729908</t>
        </is>
      </c>
      <c r="F100" s="3" t="inlineStr">
        <is>
          <t>opening post (created 2024-05-16 UTC)</t>
        </is>
      </c>
      <c r="G100" s="3" t="inlineStr">
        <is>
          <t>A manually switched-on light stays on at least 5 minutes; each motion event extends the on time by 2 minutes; the light is turned off only when no motion has been detected for 2 minutes.</t>
        </is>
      </c>
    </row>
    <row r="101" ht="45" customHeight="1">
      <c r="A101" s="3" t="inlineStr">
        <is>
          <t>S-100</t>
        </is>
      </c>
      <c r="B101" s="3" t="inlineStr">
        <is>
          <t>E1-100</t>
        </is>
      </c>
      <c r="C101" s="3" t="inlineStr">
        <is>
          <t>RETAIN</t>
        </is>
      </c>
      <c r="D101" s="3" t="inlineStr">
        <is>
          <t>Retained under the four-stratum quota.</t>
        </is>
      </c>
      <c r="E101" s="5" t="inlineStr">
        <is>
          <t>https://community.home-assistant.io/t/automation-that-triggers-when-all-residents-are-not-home/641504</t>
        </is>
      </c>
      <c r="F101" s="3" t="inlineStr">
        <is>
          <t>opening post (created 2023-11-16 UTC)</t>
        </is>
      </c>
      <c r="G101" s="3" t="inlineStr">
        <is>
          <t>When the final resident leaves so occupancy becomes zero, if the door is unlocked, send a notification.</t>
        </is>
      </c>
    </row>
    <row r="102" ht="45" customHeight="1">
      <c r="A102" s="3" t="inlineStr">
        <is>
          <t>S-101</t>
        </is>
      </c>
      <c r="B102" s="3" t="inlineStr"/>
      <c r="C102" s="3" t="inlineStr">
        <is>
          <t>NOT_RETAINED</t>
        </is>
      </c>
      <c r="D102" s="3" t="inlineStr">
        <is>
          <t>Eligible/possibly eligible item beyond the fixed 25-item elicited-source cap; retained in the screening log, not counted as a duplicate or failure.</t>
        </is>
      </c>
      <c r="E102" s="5" t="inlineStr">
        <is>
          <t>https://github.com/zlfben/autotap/blob/master/data/Data%20-%20User%20Study%201.xlsx</t>
        </is>
      </c>
      <c r="F102" s="3" t="inlineStr">
        <is>
          <t>Result sheet, Excel row 3, column AM (header 1_Q25, statement 1)</t>
        </is>
      </c>
      <c r="G102" s="3" t="inlineStr">
        <is>
          <t>The temperature should never be above 80.</t>
        </is>
      </c>
    </row>
    <row r="103" ht="45" customHeight="1">
      <c r="A103" s="3" t="inlineStr">
        <is>
          <t>S-102</t>
        </is>
      </c>
      <c r="B103" s="3" t="inlineStr"/>
      <c r="C103" s="3" t="inlineStr">
        <is>
          <t>NOT_RETAINED</t>
        </is>
      </c>
      <c r="D103" s="3" t="inlineStr">
        <is>
          <t>Eligible/possibly eligible item beyond the fixed 25-item elicited-source cap; retained in the screening log, not counted as a duplicate or failure.</t>
        </is>
      </c>
      <c r="E103" s="5" t="inlineStr">
        <is>
          <t>https://github.com/zlfben/autotap/blob/master/data/Data%20-%20User%20Study%201.xlsx</t>
        </is>
      </c>
      <c r="F103" s="3" t="inlineStr">
        <is>
          <t>Result sheet, Excel row 3, column AR (header 2_Q25, statement 2)</t>
        </is>
      </c>
      <c r="G103" s="3" t="inlineStr">
        <is>
          <t>The refrigerator should always be above 15 degrees.</t>
        </is>
      </c>
    </row>
    <row r="104" ht="45" customHeight="1">
      <c r="A104" s="3" t="inlineStr">
        <is>
          <t>S-103</t>
        </is>
      </c>
      <c r="B104" s="3" t="inlineStr"/>
      <c r="C104" s="3" t="inlineStr">
        <is>
          <t>NOT_RETAINED</t>
        </is>
      </c>
      <c r="D104" s="3" t="inlineStr">
        <is>
          <t>Eligible/possibly eligible item beyond the fixed 25-item elicited-source cap; retained in the screening log, not counted as a duplicate or failure.</t>
        </is>
      </c>
      <c r="E104" s="5" t="inlineStr">
        <is>
          <t>https://github.com/zlfben/autotap/blob/master/data/Data%20-%20User%20Study%201.xlsx</t>
        </is>
      </c>
      <c r="F104" s="3" t="inlineStr">
        <is>
          <t>Result sheet, Excel row 3, column AW (header 3_Q25, statement 3)</t>
        </is>
      </c>
      <c r="G104" s="3" t="inlineStr">
        <is>
          <t>The blinds should never go up when it is depressing looking outside.</t>
        </is>
      </c>
    </row>
    <row r="105" ht="45" customHeight="1">
      <c r="A105" s="3" t="inlineStr">
        <is>
          <t>S-104</t>
        </is>
      </c>
      <c r="B105" s="3" t="inlineStr"/>
      <c r="C105" s="3" t="inlineStr">
        <is>
          <t>NOT_RETAINED</t>
        </is>
      </c>
      <c r="D105" s="3" t="inlineStr">
        <is>
          <t>Eligible/possibly eligible item beyond the fixed 25-item elicited-source cap; retained in the screening log, not counted as a duplicate or failure.</t>
        </is>
      </c>
      <c r="E105" s="5" t="inlineStr">
        <is>
          <t>https://github.com/zlfben/autotap/blob/master/data/Data%20-%20User%20Study%201.xlsx</t>
        </is>
      </c>
      <c r="F105" s="3" t="inlineStr">
        <is>
          <t>Result sheet, Excel row 3, column BB (header 4_Q25, statement 4)</t>
        </is>
      </c>
      <c r="G105" s="3" t="inlineStr">
        <is>
          <t>The facuet should always be off if no one is near it.</t>
        </is>
      </c>
    </row>
    <row r="106" ht="45" customHeight="1">
      <c r="A106" s="3" t="inlineStr">
        <is>
          <t>S-105</t>
        </is>
      </c>
      <c r="B106" s="3" t="inlineStr"/>
      <c r="C106" s="3" t="inlineStr">
        <is>
          <t>NOT_RETAINED</t>
        </is>
      </c>
      <c r="D106" s="3" t="inlineStr">
        <is>
          <t>Eligible/possibly eligible item beyond the fixed 25-item elicited-source cap; retained in the screening log, not counted as a duplicate or failure.</t>
        </is>
      </c>
      <c r="E106" s="5" t="inlineStr">
        <is>
          <t>https://github.com/zlfben/autotap/blob/master/data/Data%20-%20User%20Study%201.xlsx</t>
        </is>
      </c>
      <c r="F106" s="3" t="inlineStr">
        <is>
          <t>Result sheet, Excel row 3, column BG (header 5_Q25, statement 5)</t>
        </is>
      </c>
      <c r="G106" s="3" t="inlineStr">
        <is>
          <t>The shower head should never be not aiming at me.</t>
        </is>
      </c>
    </row>
    <row r="107" ht="45" customHeight="1">
      <c r="A107" s="3" t="inlineStr">
        <is>
          <t>S-106</t>
        </is>
      </c>
      <c r="B107" s="3" t="inlineStr"/>
      <c r="C107" s="3" t="inlineStr">
        <is>
          <t>NOT_RETAINED</t>
        </is>
      </c>
      <c r="D107" s="3" t="inlineStr">
        <is>
          <t>Eligible/possibly eligible item beyond the fixed 25-item elicited-source cap; retained in the screening log, not counted as a duplicate or failure.</t>
        </is>
      </c>
      <c r="E107" s="5" t="inlineStr">
        <is>
          <t>https://github.com/zlfben/autotap/blob/master/data/Data%20-%20User%20Study%201.xlsx</t>
        </is>
      </c>
      <c r="F107" s="3" t="inlineStr">
        <is>
          <t>Result sheet, Excel row 3, column BL (header 6_Q25, statement 6)</t>
        </is>
      </c>
      <c r="G107" s="3" t="inlineStr">
        <is>
          <t>The smart door lock should always be locked no matter what.</t>
        </is>
      </c>
    </row>
    <row r="108" ht="45" customHeight="1">
      <c r="A108" s="3" t="inlineStr">
        <is>
          <t>S-107</t>
        </is>
      </c>
      <c r="B108" s="3" t="inlineStr"/>
      <c r="C108" s="3" t="inlineStr">
        <is>
          <t>NOT_RETAINED</t>
        </is>
      </c>
      <c r="D108" s="3" t="inlineStr">
        <is>
          <t>Eligible/possibly eligible item beyond the fixed 25-item elicited-source cap; retained in the screening log, not counted as a duplicate or failure.</t>
        </is>
      </c>
      <c r="E108" s="5" t="inlineStr">
        <is>
          <t>https://github.com/zlfben/autotap/blob/master/data/Data%20-%20User%20Study%201.xlsx</t>
        </is>
      </c>
      <c r="F108" s="3" t="inlineStr">
        <is>
          <t>Result sheet, Excel row 3, column BQ (header 7_Q25, statement 7)</t>
        </is>
      </c>
      <c r="G108" s="3" t="inlineStr">
        <is>
          <t>The coffee maker should never make coffee afternoon.</t>
        </is>
      </c>
    </row>
    <row r="109" ht="45" customHeight="1">
      <c r="A109" s="3" t="inlineStr">
        <is>
          <t>S-108</t>
        </is>
      </c>
      <c r="B109" s="3" t="inlineStr"/>
      <c r="C109" s="3" t="inlineStr">
        <is>
          <t>NOT_RETAINED</t>
        </is>
      </c>
      <c r="D109" s="3" t="inlineStr">
        <is>
          <t>Eligible/possibly eligible item beyond the fixed 25-item elicited-source cap; retained in the screening log, not counted as a duplicate or failure.</t>
        </is>
      </c>
      <c r="E109" s="5" t="inlineStr">
        <is>
          <t>https://github.com/zlfben/autotap/blob/master/data/Data%20-%20User%20Study%201.xlsx</t>
        </is>
      </c>
      <c r="F109" s="3" t="inlineStr">
        <is>
          <t>Result sheet, Excel row 3, column BV (header 8_Q25, statement 8)</t>
        </is>
      </c>
      <c r="G109" s="3" t="inlineStr">
        <is>
          <t>The scale should always report the correct number for my weight.</t>
        </is>
      </c>
    </row>
    <row r="110" ht="45" customHeight="1">
      <c r="A110" s="3" t="inlineStr">
        <is>
          <t>S-109</t>
        </is>
      </c>
      <c r="B110" s="3" t="inlineStr"/>
      <c r="C110" s="3" t="inlineStr">
        <is>
          <t>NOT_RETAINED</t>
        </is>
      </c>
      <c r="D110" s="3" t="inlineStr">
        <is>
          <t>Eligible/possibly eligible item beyond the fixed 25-item elicited-source cap; retained in the screening log, not counted as a duplicate or failure.</t>
        </is>
      </c>
      <c r="E110" s="5" t="inlineStr">
        <is>
          <t>https://github.com/zlfben/autotap/blob/master/data/Data%20-%20User%20Study%201.xlsx</t>
        </is>
      </c>
      <c r="F110" s="3" t="inlineStr">
        <is>
          <t>Result sheet, Excel row 3, column CA (header 9_Q25, statement 9)</t>
        </is>
      </c>
      <c r="G110" s="3" t="inlineStr">
        <is>
          <t>The stove should always be off if no one is home.</t>
        </is>
      </c>
    </row>
    <row r="111" ht="45" customHeight="1">
      <c r="A111" s="3" t="inlineStr">
        <is>
          <t>S-110</t>
        </is>
      </c>
      <c r="B111" s="3" t="inlineStr"/>
      <c r="C111" s="3" t="inlineStr">
        <is>
          <t>NOT_RETAINED</t>
        </is>
      </c>
      <c r="D111" s="3" t="inlineStr">
        <is>
          <t>Eligible/possibly eligible item beyond the fixed 25-item elicited-source cap; retained in the screening log, not counted as a duplicate or failure.</t>
        </is>
      </c>
      <c r="E111" s="5" t="inlineStr">
        <is>
          <t>https://github.com/zlfben/autotap/blob/master/data/Data%20-%20User%20Study%201.xlsx</t>
        </is>
      </c>
      <c r="F111" s="3" t="inlineStr">
        <is>
          <t>Result sheet, Excel row 3, column CF (header 10_Q25, statement 10)</t>
        </is>
      </c>
      <c r="G111" s="3" t="inlineStr">
        <is>
          <t>The camera should never record something by itself.</t>
        </is>
      </c>
    </row>
    <row r="112" ht="45" customHeight="1">
      <c r="A112" s="3" t="inlineStr">
        <is>
          <t>S-111</t>
        </is>
      </c>
      <c r="B112" s="3" t="inlineStr"/>
      <c r="C112" s="3" t="inlineStr">
        <is>
          <t>NOT_RETAINED</t>
        </is>
      </c>
      <c r="D112" s="3" t="inlineStr">
        <is>
          <t>Eligible/possibly eligible item beyond the fixed 25-item elicited-source cap; retained in the screening log, not counted as a duplicate or failure.</t>
        </is>
      </c>
      <c r="E112" s="5" t="inlineStr">
        <is>
          <t>https://github.com/zlfben/autotap/blob/master/data/Data%20-%20User%20Study%201.xlsx</t>
        </is>
      </c>
      <c r="F112" s="3" t="inlineStr">
        <is>
          <t>Result sheet, Excel row 4, column AM (header 1_Q25, statement 1)</t>
        </is>
      </c>
      <c r="G112" s="3" t="inlineStr">
        <is>
          <t>my thermostat should never go over 80 degrees if someone is home</t>
        </is>
      </c>
    </row>
    <row r="113" ht="45" customHeight="1">
      <c r="A113" s="3" t="inlineStr">
        <is>
          <t>S-112</t>
        </is>
      </c>
      <c r="B113" s="3" t="inlineStr"/>
      <c r="C113" s="3" t="inlineStr">
        <is>
          <t>NOT_RETAINED</t>
        </is>
      </c>
      <c r="D113" s="3" t="inlineStr">
        <is>
          <t>Eligible/possibly eligible item beyond the fixed 25-item elicited-source cap; retained in the screening log, not counted as a duplicate or failure.</t>
        </is>
      </c>
      <c r="E113" s="5" t="inlineStr">
        <is>
          <t>https://github.com/zlfben/autotap/blob/master/data/Data%20-%20User%20Study%201.xlsx</t>
        </is>
      </c>
      <c r="F113" s="3" t="inlineStr">
        <is>
          <t>Result sheet, Excel row 4, column AR (header 2_Q25, statement 2)</t>
        </is>
      </c>
      <c r="G113" s="3" t="inlineStr">
        <is>
          <t>start roomba only when no one is home.</t>
        </is>
      </c>
    </row>
    <row r="114" ht="45" customHeight="1">
      <c r="A114" s="3" t="inlineStr">
        <is>
          <t>S-113</t>
        </is>
      </c>
      <c r="B114" s="3" t="inlineStr"/>
      <c r="C114" s="3" t="inlineStr">
        <is>
          <t>NOT_RETAINED</t>
        </is>
      </c>
      <c r="D114" s="3" t="inlineStr">
        <is>
          <t>Eligible/possibly eligible item beyond the fixed 25-item elicited-source cap; retained in the screening log, not counted as a duplicate or failure.</t>
        </is>
      </c>
      <c r="E114" s="5" t="inlineStr">
        <is>
          <t>https://github.com/zlfben/autotap/blob/master/data/Data%20-%20User%20Study%201.xlsx</t>
        </is>
      </c>
      <c r="F114" s="3" t="inlineStr">
        <is>
          <t>Result sheet, Excel row 4, column AW (header 3_Q25, statement 3)</t>
        </is>
      </c>
      <c r="G114" s="3" t="inlineStr">
        <is>
          <t>door should be locked if no one is home</t>
        </is>
      </c>
    </row>
    <row r="115" ht="45" customHeight="1">
      <c r="A115" s="3" t="inlineStr">
        <is>
          <t>S-114</t>
        </is>
      </c>
      <c r="B115" s="3" t="inlineStr"/>
      <c r="C115" s="3" t="inlineStr">
        <is>
          <t>NOT_RETAINED</t>
        </is>
      </c>
      <c r="D115" s="3" t="inlineStr">
        <is>
          <t>Eligible/possibly eligible item beyond the fixed 25-item elicited-source cap; retained in the screening log, not counted as a duplicate or failure.</t>
        </is>
      </c>
      <c r="E115" s="5" t="inlineStr">
        <is>
          <t>https://github.com/zlfben/autotap/blob/master/data/Data%20-%20User%20Study%201.xlsx</t>
        </is>
      </c>
      <c r="F115" s="3" t="inlineStr">
        <is>
          <t>Result sheet, Excel row 4, column BB (header 4_Q25, statement 4)</t>
        </is>
      </c>
      <c r="G115" s="3" t="inlineStr">
        <is>
          <t>the garage door should always shut when the car leaves it</t>
        </is>
      </c>
    </row>
    <row r="116" ht="45" customHeight="1">
      <c r="A116" s="3" t="inlineStr">
        <is>
          <t>S-115</t>
        </is>
      </c>
      <c r="B116" s="3" t="inlineStr"/>
      <c r="C116" s="3" t="inlineStr">
        <is>
          <t>NOT_RETAINED</t>
        </is>
      </c>
      <c r="D116" s="3" t="inlineStr">
        <is>
          <t>Eligible/possibly eligible item beyond the fixed 25-item elicited-source cap; retained in the screening log, not counted as a duplicate or failure.</t>
        </is>
      </c>
      <c r="E116" s="5" t="inlineStr">
        <is>
          <t>https://github.com/zlfben/autotap/blob/master/data/Data%20-%20User%20Study%201.xlsx</t>
        </is>
      </c>
      <c r="F116" s="3" t="inlineStr">
        <is>
          <t>Result sheet, Excel row 4, column BV (header 8_Q25, statement 8)</t>
        </is>
      </c>
      <c r="G116" s="3" t="inlineStr">
        <is>
          <t>the oven should automatically shut off if it detects nothing in it at all after 10 minutes</t>
        </is>
      </c>
    </row>
    <row r="117" ht="45" customHeight="1">
      <c r="A117" s="3" t="inlineStr">
        <is>
          <t>S-116</t>
        </is>
      </c>
      <c r="B117" s="3" t="inlineStr"/>
      <c r="C117" s="3" t="inlineStr">
        <is>
          <t>NOT_RETAINED</t>
        </is>
      </c>
      <c r="D117" s="3" t="inlineStr">
        <is>
          <t>Eligible/possibly eligible item beyond the fixed 25-item elicited-source cap; retained in the screening log, not counted as a duplicate or failure.</t>
        </is>
      </c>
      <c r="E117" s="5" t="inlineStr">
        <is>
          <t>https://github.com/zlfben/autotap/blob/master/data/Data%20-%20User%20Study%201.xlsx</t>
        </is>
      </c>
      <c r="F117" s="3" t="inlineStr">
        <is>
          <t>Result sheet, Excel row 4, column CA (header 9_Q25, statement 9)</t>
        </is>
      </c>
      <c r="G117" s="3" t="inlineStr">
        <is>
          <t>the sprinklers should automatically shut off if there is a weather report of rain with a high percentage chance</t>
        </is>
      </c>
    </row>
    <row r="118" ht="45" customHeight="1">
      <c r="A118" s="3" t="inlineStr">
        <is>
          <t>S-117</t>
        </is>
      </c>
      <c r="B118" s="3" t="inlineStr"/>
      <c r="C118" s="3" t="inlineStr">
        <is>
          <t>NOT_RETAINED</t>
        </is>
      </c>
      <c r="D118" s="3" t="inlineStr">
        <is>
          <t>Eligible/possibly eligible item beyond the fixed 25-item elicited-source cap; retained in the screening log, not counted as a duplicate or failure.</t>
        </is>
      </c>
      <c r="E118" s="5" t="inlineStr">
        <is>
          <t>https://github.com/zlfben/autotap/blob/master/data/Data%20-%20User%20Study%201.xlsx</t>
        </is>
      </c>
      <c r="F118" s="3" t="inlineStr">
        <is>
          <t>Result sheet, Excel row 4, column CF (header 10_Q25, statement 10)</t>
        </is>
      </c>
      <c r="G118" s="3" t="inlineStr">
        <is>
          <t>smart lawn mower should automatically shut off if it detects anything entering the blades larger than say a small rock</t>
        </is>
      </c>
    </row>
    <row r="119" ht="45" customHeight="1">
      <c r="A119" s="3" t="inlineStr">
        <is>
          <t>S-118</t>
        </is>
      </c>
      <c r="B119" s="3" t="inlineStr"/>
      <c r="C119" s="3" t="inlineStr">
        <is>
          <t>NOT_RETAINED</t>
        </is>
      </c>
      <c r="D119" s="3" t="inlineStr">
        <is>
          <t>Eligible/possibly eligible item beyond the fixed 25-item elicited-source cap; retained in the screening log, not counted as a duplicate or failure.</t>
        </is>
      </c>
      <c r="E119" s="5" t="inlineStr">
        <is>
          <t>https://github.com/zlfben/autotap/blob/master/data/Data%20-%20User%20Study%201.xlsx</t>
        </is>
      </c>
      <c r="F119" s="3" t="inlineStr">
        <is>
          <t>Result sheet, Excel row 6, column AM (header 1_Q25, statement 1)</t>
        </is>
      </c>
      <c r="G119" s="3" t="inlineStr">
        <is>
          <t>My smart dishwasher should never run while empty</t>
        </is>
      </c>
    </row>
    <row r="120" ht="45" customHeight="1">
      <c r="A120" s="3" t="inlineStr">
        <is>
          <t>S-119</t>
        </is>
      </c>
      <c r="B120" s="3" t="inlineStr"/>
      <c r="C120" s="3" t="inlineStr">
        <is>
          <t>NOT_RETAINED</t>
        </is>
      </c>
      <c r="D120" s="3" t="inlineStr">
        <is>
          <t>Eligible/possibly eligible item beyond the fixed 25-item elicited-source cap; retained in the screening log, not counted as a duplicate or failure.</t>
        </is>
      </c>
      <c r="E120" s="5" t="inlineStr">
        <is>
          <t>https://github.com/zlfben/autotap/blob/master/data/Data%20-%20User%20Study%201.xlsx</t>
        </is>
      </c>
      <c r="F120" s="3" t="inlineStr">
        <is>
          <t>Result sheet, Excel row 6, column AR (header 2_Q25, statement 2)</t>
        </is>
      </c>
      <c r="G120" s="3" t="inlineStr">
        <is>
          <t>My Smart TV Should never play inapproiate material when there are children present.</t>
        </is>
      </c>
    </row>
    <row r="121" ht="45" customHeight="1">
      <c r="A121" s="3" t="inlineStr">
        <is>
          <t>S-120</t>
        </is>
      </c>
      <c r="B121" s="3" t="inlineStr"/>
      <c r="C121" s="3" t="inlineStr">
        <is>
          <t>NOT_RETAINED</t>
        </is>
      </c>
      <c r="D121" s="3" t="inlineStr">
        <is>
          <t>Eligible/possibly eligible item beyond the fixed 25-item elicited-source cap; retained in the screening log, not counted as a duplicate or failure.</t>
        </is>
      </c>
      <c r="E121" s="5" t="inlineStr">
        <is>
          <t>https://github.com/zlfben/autotap/blob/master/data/Data%20-%20User%20Study%201.xlsx</t>
        </is>
      </c>
      <c r="F121" s="3" t="inlineStr">
        <is>
          <t>Result sheet, Excel row 6, column AW (header 3_Q25, statement 3)</t>
        </is>
      </c>
      <c r="G121" s="3" t="inlineStr">
        <is>
          <t>My Smart Door Lock should never unlock while my family is away from the home.</t>
        </is>
      </c>
    </row>
    <row r="122" ht="45" customHeight="1">
      <c r="A122" s="3" t="inlineStr">
        <is>
          <t>S-121</t>
        </is>
      </c>
      <c r="B122" s="3" t="inlineStr"/>
      <c r="C122" s="3" t="inlineStr">
        <is>
          <t>NOT_RETAINED</t>
        </is>
      </c>
      <c r="D122" s="3" t="inlineStr">
        <is>
          <t>Eligible/possibly eligible item beyond the fixed 25-item elicited-source cap; retained in the screening log, not counted as a duplicate or failure.</t>
        </is>
      </c>
      <c r="E122" s="5" t="inlineStr">
        <is>
          <t>https://github.com/zlfben/autotap/blob/master/data/Data%20-%20User%20Study%201.xlsx</t>
        </is>
      </c>
      <c r="F122" s="3" t="inlineStr">
        <is>
          <t>Result sheet, Excel row 6, column BB (header 4_Q25, statement 4)</t>
        </is>
      </c>
      <c r="G122" s="3" t="inlineStr">
        <is>
          <t>My Smart Toaster should always lightly brown my toast.</t>
        </is>
      </c>
    </row>
    <row r="123" ht="45" customHeight="1">
      <c r="A123" s="3" t="inlineStr">
        <is>
          <t>S-122</t>
        </is>
      </c>
      <c r="B123" s="3" t="inlineStr"/>
      <c r="C123" s="3" t="inlineStr">
        <is>
          <t>NOT_RETAINED</t>
        </is>
      </c>
      <c r="D123" s="3" t="inlineStr">
        <is>
          <t>Eligible/possibly eligible item beyond the fixed 25-item elicited-source cap; retained in the screening log, not counted as a duplicate or failure.</t>
        </is>
      </c>
      <c r="E123" s="5" t="inlineStr">
        <is>
          <t>https://github.com/zlfben/autotap/blob/master/data/Data%20-%20User%20Study%201.xlsx</t>
        </is>
      </c>
      <c r="F123" s="3" t="inlineStr">
        <is>
          <t>Result sheet, Excel row 6, column BG (header 5_Q25, statement 5)</t>
        </is>
      </c>
      <c r="G123" s="3" t="inlineStr">
        <is>
          <t>My Smart Window should not open while there is rain blowing towards it.</t>
        </is>
      </c>
    </row>
    <row r="124" ht="45" customHeight="1">
      <c r="A124" s="3" t="inlineStr">
        <is>
          <t>S-123</t>
        </is>
      </c>
      <c r="B124" s="3" t="inlineStr"/>
      <c r="C124" s="3" t="inlineStr">
        <is>
          <t>NOT_RETAINED</t>
        </is>
      </c>
      <c r="D124" s="3" t="inlineStr">
        <is>
          <t>Eligible/possibly eligible item beyond the fixed 25-item elicited-source cap; retained in the screening log, not counted as a duplicate or failure.</t>
        </is>
      </c>
      <c r="E124" s="5" t="inlineStr">
        <is>
          <t>https://github.com/zlfben/autotap/blob/master/data/Data%20-%20User%20Study%201.xlsx</t>
        </is>
      </c>
      <c r="F124" s="3" t="inlineStr">
        <is>
          <t>Result sheet, Excel row 6, column BL (header 6_Q25, statement 6)</t>
        </is>
      </c>
      <c r="G124" s="3" t="inlineStr">
        <is>
          <t>My Smart Humidifier should always turn off once out of water.</t>
        </is>
      </c>
    </row>
    <row r="125" ht="45" customHeight="1">
      <c r="A125" s="3" t="inlineStr">
        <is>
          <t>S-124</t>
        </is>
      </c>
      <c r="B125" s="3" t="inlineStr"/>
      <c r="C125" s="3" t="inlineStr">
        <is>
          <t>NOT_RETAINED</t>
        </is>
      </c>
      <c r="D125" s="3" t="inlineStr">
        <is>
          <t>Eligible/possibly eligible item beyond the fixed 25-item elicited-source cap; retained in the screening log, not counted as a duplicate or failure.</t>
        </is>
      </c>
      <c r="E125" s="5" t="inlineStr">
        <is>
          <t>https://github.com/zlfben/autotap/blob/master/data/Data%20-%20User%20Study%201.xlsx</t>
        </is>
      </c>
      <c r="F125" s="3" t="inlineStr">
        <is>
          <t>Result sheet, Excel row 6, column BQ (header 7_Q25, statement 7)</t>
        </is>
      </c>
      <c r="G125" s="3" t="inlineStr">
        <is>
          <t>My Smart Vacuum should always stop once full</t>
        </is>
      </c>
    </row>
    <row r="126" ht="45" customHeight="1">
      <c r="A126" s="3" t="inlineStr">
        <is>
          <t>S-125</t>
        </is>
      </c>
      <c r="B126" s="3" t="inlineStr"/>
      <c r="C126" s="3" t="inlineStr">
        <is>
          <t>NOT_RETAINED</t>
        </is>
      </c>
      <c r="D126" s="3" t="inlineStr">
        <is>
          <t>Eligible/possibly eligible item beyond the fixed 25-item elicited-source cap; retained in the screening log, not counted as a duplicate or failure.</t>
        </is>
      </c>
      <c r="E126" s="5" t="inlineStr">
        <is>
          <t>https://github.com/zlfben/autotap/blob/master/data/Data%20-%20User%20Study%201.xlsx</t>
        </is>
      </c>
      <c r="F126" s="3" t="inlineStr">
        <is>
          <t>Result sheet, Excel row 6, column CA (header 9_Q25, statement 9)</t>
        </is>
      </c>
      <c r="G126" s="3" t="inlineStr">
        <is>
          <t>My Smart Thermostat should always stay in the programmed range I set.</t>
        </is>
      </c>
    </row>
    <row r="127" ht="45" customHeight="1">
      <c r="A127" s="3" t="inlineStr">
        <is>
          <t>S-126</t>
        </is>
      </c>
      <c r="B127" s="3" t="inlineStr"/>
      <c r="C127" s="3" t="inlineStr">
        <is>
          <t>NOT_RETAINED</t>
        </is>
      </c>
      <c r="D127" s="3" t="inlineStr">
        <is>
          <t>Eligible/possibly eligible item beyond the fixed 25-item elicited-source cap; retained in the screening log, not counted as a duplicate or failure.</t>
        </is>
      </c>
      <c r="E127" s="5" t="inlineStr">
        <is>
          <t>https://github.com/zlfben/autotap/blob/master/data/Data%20-%20User%20Study%201.xlsx</t>
        </is>
      </c>
      <c r="F127" s="3" t="inlineStr">
        <is>
          <t>Result sheet, Excel row 6, column CF (header 10_Q25, statement 10)</t>
        </is>
      </c>
      <c r="G127" s="3" t="inlineStr">
        <is>
          <t>My Smart CO detector should never alert me unless there is a problem with the CO Levels.</t>
        </is>
      </c>
    </row>
    <row r="128" ht="45" customHeight="1">
      <c r="A128" s="3" t="inlineStr">
        <is>
          <t>S-127</t>
        </is>
      </c>
      <c r="B128" s="3" t="inlineStr"/>
      <c r="C128" s="3" t="inlineStr">
        <is>
          <t>NOT_RETAINED</t>
        </is>
      </c>
      <c r="D128" s="3" t="inlineStr">
        <is>
          <t>Eligible/possibly eligible item beyond the fixed 25-item elicited-source cap; retained in the screening log, not counted as a duplicate or failure.</t>
        </is>
      </c>
      <c r="E128" s="5" t="inlineStr">
        <is>
          <t>https://github.com/zlfben/autotap/blob/master/data/Data%20-%20User%20Study%201.xlsx</t>
        </is>
      </c>
      <c r="F128" s="3" t="inlineStr">
        <is>
          <t>Result sheet, Excel row 7, column AR (header 2_Q25, statement 2)</t>
        </is>
      </c>
      <c r="G128" s="3" t="inlineStr">
        <is>
          <t>Smart Locks should only respond to specific, familiar, devices.</t>
        </is>
      </c>
    </row>
    <row r="129" ht="45" customHeight="1">
      <c r="A129" s="3" t="inlineStr">
        <is>
          <t>S-128</t>
        </is>
      </c>
      <c r="B129" s="3" t="inlineStr"/>
      <c r="C129" s="3" t="inlineStr">
        <is>
          <t>NOT_RETAINED</t>
        </is>
      </c>
      <c r="D129" s="3" t="inlineStr">
        <is>
          <t>Eligible/possibly eligible item beyond the fixed 25-item elicited-source cap; retained in the screening log, not counted as a duplicate or failure.</t>
        </is>
      </c>
      <c r="E129" s="5" t="inlineStr">
        <is>
          <t>https://github.com/zlfben/autotap/blob/master/data/Data%20-%20User%20Study%201.xlsx</t>
        </is>
      </c>
      <c r="F129" s="3" t="inlineStr">
        <is>
          <t>Result sheet, Excel row 7, column AW (header 3_Q25, statement 3)</t>
        </is>
      </c>
      <c r="G129" s="3" t="inlineStr">
        <is>
          <t>Smart cameras should never upload footage anywhere outside of the network unless instructed to.</t>
        </is>
      </c>
    </row>
    <row r="130" ht="45" customHeight="1">
      <c r="A130" s="3" t="inlineStr">
        <is>
          <t>S-129</t>
        </is>
      </c>
      <c r="B130" s="3" t="inlineStr"/>
      <c r="C130" s="3" t="inlineStr">
        <is>
          <t>NOT_RETAINED</t>
        </is>
      </c>
      <c r="D130" s="3" t="inlineStr">
        <is>
          <t>Eligible/possibly eligible item beyond the fixed 25-item elicited-source cap; retained in the screening log, not counted as a duplicate or failure.</t>
        </is>
      </c>
      <c r="E130" s="5" t="inlineStr">
        <is>
          <t>https://github.com/zlfben/autotap/blob/master/data/Data%20-%20User%20Study%201.xlsx</t>
        </is>
      </c>
      <c r="F130" s="3" t="inlineStr">
        <is>
          <t>Result sheet, Excel row 7, column BB (header 4_Q25, statement 4)</t>
        </is>
      </c>
      <c r="G130" s="3" t="inlineStr">
        <is>
          <t>Smart Lawn Mowers should have multiple failsafes programmed in case of random human/animals unexpectedly crossing their paths.</t>
        </is>
      </c>
    </row>
    <row r="131" ht="45" customHeight="1">
      <c r="A131" s="3" t="inlineStr">
        <is>
          <t>S-130</t>
        </is>
      </c>
      <c r="B131" s="3" t="inlineStr"/>
      <c r="C131" s="3" t="inlineStr">
        <is>
          <t>NOT_RETAINED</t>
        </is>
      </c>
      <c r="D131" s="3" t="inlineStr">
        <is>
          <t>Eligible/possibly eligible item beyond the fixed 25-item elicited-source cap; retained in the screening log, not counted as a duplicate or failure.</t>
        </is>
      </c>
      <c r="E131" s="5" t="inlineStr">
        <is>
          <t>https://github.com/zlfben/autotap/blob/master/data/Data%20-%20User%20Study%201.xlsx</t>
        </is>
      </c>
      <c r="F131" s="3" t="inlineStr">
        <is>
          <t>Result sheet, Excel row 7, column BG (header 5_Q25, statement 5)</t>
        </is>
      </c>
      <c r="G131" s="3" t="inlineStr">
        <is>
          <t>Smart Stoves should turn off after an unreasonable amount of time left on or if temperatures are detected above an abnormal level.</t>
        </is>
      </c>
    </row>
    <row r="132" ht="45" customHeight="1">
      <c r="A132" s="3" t="inlineStr">
        <is>
          <t>S-131</t>
        </is>
      </c>
      <c r="B132" s="3" t="inlineStr"/>
      <c r="C132" s="3" t="inlineStr">
        <is>
          <t>NOT_RETAINED</t>
        </is>
      </c>
      <c r="D132" s="3" t="inlineStr">
        <is>
          <t>Eligible/possibly eligible item beyond the fixed 25-item elicited-source cap; retained in the screening log, not counted as a duplicate or failure.</t>
        </is>
      </c>
      <c r="E132" s="5" t="inlineStr">
        <is>
          <t>https://github.com/zlfben/autotap/blob/master/data/Data%20-%20User%20Study%201.xlsx</t>
        </is>
      </c>
      <c r="F132" s="3" t="inlineStr">
        <is>
          <t>Result sheet, Excel row 7, column BL (header 6_Q25, statement 6)</t>
        </is>
      </c>
      <c r="G132" s="3" t="inlineStr">
        <is>
          <t>Smart Stoves should never start up by themselves.</t>
        </is>
      </c>
    </row>
    <row r="133" ht="45" customHeight="1">
      <c r="A133" s="3" t="inlineStr">
        <is>
          <t>S-132</t>
        </is>
      </c>
      <c r="B133" s="3" t="inlineStr"/>
      <c r="C133" s="3" t="inlineStr">
        <is>
          <t>NOT_RETAINED</t>
        </is>
      </c>
      <c r="D133" s="3" t="inlineStr">
        <is>
          <t>Eligible/possibly eligible item beyond the fixed 25-item elicited-source cap; retained in the screening log, not counted as a duplicate or failure.</t>
        </is>
      </c>
      <c r="E133" s="5" t="inlineStr">
        <is>
          <t>https://github.com/zlfben/autotap/blob/master/data/Data%20-%20User%20Study%201.xlsx</t>
        </is>
      </c>
      <c r="F133" s="3" t="inlineStr">
        <is>
          <t>Result sheet, Excel row 7, column BQ (header 7_Q25, statement 7)</t>
        </is>
      </c>
      <c r="G133" s="3" t="inlineStr">
        <is>
          <t>Smart devices should always be able to be used in an offline setting.</t>
        </is>
      </c>
    </row>
    <row r="134" ht="45" customHeight="1">
      <c r="A134" s="3" t="inlineStr">
        <is>
          <t>S-133</t>
        </is>
      </c>
      <c r="B134" s="3" t="inlineStr"/>
      <c r="C134" s="3" t="inlineStr">
        <is>
          <t>NOT_RETAINED</t>
        </is>
      </c>
      <c r="D134" s="3" t="inlineStr">
        <is>
          <t>Eligible/possibly eligible item beyond the fixed 25-item elicited-source cap; retained in the screening log, not counted as a duplicate or failure.</t>
        </is>
      </c>
      <c r="E134" s="5" t="inlineStr">
        <is>
          <t>https://github.com/zlfben/autotap/blob/master/data/Data%20-%20User%20Study%201.xlsx</t>
        </is>
      </c>
      <c r="F134" s="3" t="inlineStr">
        <is>
          <t>Result sheet, Excel row 7, column BV (header 8_Q25, statement 8)</t>
        </is>
      </c>
      <c r="G134" s="3" t="inlineStr">
        <is>
          <t>Smart faucets should never run unless scheduled to do so.</t>
        </is>
      </c>
    </row>
    <row r="135" ht="45" customHeight="1">
      <c r="A135" s="3" t="inlineStr">
        <is>
          <t>S-134</t>
        </is>
      </c>
      <c r="B135" s="3" t="inlineStr"/>
      <c r="C135" s="3" t="inlineStr">
        <is>
          <t>NOT_RETAINED</t>
        </is>
      </c>
      <c r="D135" s="3" t="inlineStr">
        <is>
          <t>Eligible/possibly eligible item beyond the fixed 25-item elicited-source cap; retained in the screening log, not counted as a duplicate or failure.</t>
        </is>
      </c>
      <c r="E135" s="5" t="inlineStr">
        <is>
          <t>https://github.com/zlfben/autotap/blob/master/data/Data%20-%20User%20Study%201.xlsx</t>
        </is>
      </c>
      <c r="F135" s="3" t="inlineStr">
        <is>
          <t>Result sheet, Excel row 7, column CA (header 9_Q25, statement 9)</t>
        </is>
      </c>
      <c r="G135" s="3" t="inlineStr">
        <is>
          <t>Unless commanded to, smart windows should not be able to change from their darkened out, private state to a visible state without permission.</t>
        </is>
      </c>
    </row>
    <row r="136" ht="45" customHeight="1">
      <c r="A136" s="3" t="inlineStr">
        <is>
          <t>S-135</t>
        </is>
      </c>
      <c r="B136" s="3" t="inlineStr"/>
      <c r="C136" s="3" t="inlineStr">
        <is>
          <t>NOT_RETAINED</t>
        </is>
      </c>
      <c r="D136" s="3" t="inlineStr">
        <is>
          <t>Eligible/possibly eligible item beyond the fixed 25-item elicited-source cap; retained in the screening log, not counted as a duplicate or failure.</t>
        </is>
      </c>
      <c r="E136" s="5" t="inlineStr">
        <is>
          <t>https://github.com/zlfben/autotap/blob/master/data/Data%20-%20User%20Study%201.xlsx</t>
        </is>
      </c>
      <c r="F136" s="3" t="inlineStr">
        <is>
          <t>Result sheet, Excel row 7, column CF (header 10_Q25, statement 10)</t>
        </is>
      </c>
      <c r="G136" s="3" t="inlineStr">
        <is>
          <t>The smart stove should never continue to burn or heat itself if no weight is detected on any of the burners after 5-10 minutes.</t>
        </is>
      </c>
    </row>
    <row r="137" ht="45" customHeight="1">
      <c r="A137" s="3" t="inlineStr">
        <is>
          <t>S-136</t>
        </is>
      </c>
      <c r="B137" s="3" t="inlineStr"/>
      <c r="C137" s="3" t="inlineStr">
        <is>
          <t>NOT_RETAINED</t>
        </is>
      </c>
      <c r="D137" s="3" t="inlineStr">
        <is>
          <t>Eligible/possibly eligible item beyond the fixed 25-item elicited-source cap; retained in the screening log, not counted as a duplicate or failure.</t>
        </is>
      </c>
      <c r="E137" s="5" t="inlineStr">
        <is>
          <t>https://github.com/zlfben/autotap/blob/master/data/Data%20-%20User%20Study%201.xlsx</t>
        </is>
      </c>
      <c r="F137" s="3" t="inlineStr">
        <is>
          <t>Result sheet, Excel row 8, column AM (header 1_Q25, statement 1)</t>
        </is>
      </c>
      <c r="G137" s="3" t="inlineStr">
        <is>
          <t>The temperature should always switch to energy efficient when I'm out of the home.</t>
        </is>
      </c>
    </row>
    <row r="138" ht="45" customHeight="1">
      <c r="A138" s="3" t="inlineStr">
        <is>
          <t>S-137</t>
        </is>
      </c>
      <c r="B138" s="3" t="inlineStr"/>
      <c r="C138" s="3" t="inlineStr">
        <is>
          <t>NOT_RETAINED</t>
        </is>
      </c>
      <c r="D138" s="3" t="inlineStr">
        <is>
          <t>Eligible/possibly eligible item beyond the fixed 25-item elicited-source cap; retained in the screening log, not counted as a duplicate or failure.</t>
        </is>
      </c>
      <c r="E138" s="5" t="inlineStr">
        <is>
          <t>https://github.com/zlfben/autotap/blob/master/data/Data%20-%20User%20Study%201.xlsx</t>
        </is>
      </c>
      <c r="F138" s="3" t="inlineStr">
        <is>
          <t>Result sheet, Excel row 8, column BG (header 5_Q25, statement 5)</t>
        </is>
      </c>
      <c r="G138" s="3" t="inlineStr">
        <is>
          <t>Lock the door after I leave if it isn't already locked.</t>
        </is>
      </c>
    </row>
    <row r="139" ht="45" customHeight="1">
      <c r="A139" s="3" t="inlineStr">
        <is>
          <t>S-138</t>
        </is>
      </c>
      <c r="B139" s="3" t="inlineStr"/>
      <c r="C139" s="3" t="inlineStr">
        <is>
          <t>NOT_RETAINED</t>
        </is>
      </c>
      <c r="D139" s="3" t="inlineStr">
        <is>
          <t>Eligible/possibly eligible item beyond the fixed 25-item elicited-source cap; retained in the screening log, not counted as a duplicate or failure.</t>
        </is>
      </c>
      <c r="E139" s="5" t="inlineStr">
        <is>
          <t>https://github.com/zlfben/autotap/blob/master/data/Data%20-%20User%20Study%201.xlsx</t>
        </is>
      </c>
      <c r="F139" s="3" t="inlineStr">
        <is>
          <t>Result sheet, Excel row 8, column BL (header 6_Q25, statement 6)</t>
        </is>
      </c>
      <c r="G139" s="3" t="inlineStr">
        <is>
          <t>If the CO detector senses issues send a notification to my phone.</t>
        </is>
      </c>
    </row>
    <row r="140" ht="45" customHeight="1">
      <c r="A140" s="3" t="inlineStr">
        <is>
          <t>S-139</t>
        </is>
      </c>
      <c r="B140" s="3" t="inlineStr"/>
      <c r="C140" s="3" t="inlineStr">
        <is>
          <t>NOT_RETAINED</t>
        </is>
      </c>
      <c r="D140" s="3" t="inlineStr">
        <is>
          <t>Eligible/possibly eligible item beyond the fixed 25-item elicited-source cap; retained in the screening log, not counted as a duplicate or failure.</t>
        </is>
      </c>
      <c r="E140" s="5" t="inlineStr">
        <is>
          <t>https://github.com/zlfben/autotap/blob/master/data/Data%20-%20User%20Study%201.xlsx</t>
        </is>
      </c>
      <c r="F140" s="3" t="inlineStr">
        <is>
          <t>Result sheet, Excel row 8, column BQ (header 7_Q25, statement 7)</t>
        </is>
      </c>
      <c r="G140" s="3" t="inlineStr">
        <is>
          <t>Dim the lights around bedtime.</t>
        </is>
      </c>
    </row>
    <row r="141" ht="45" customHeight="1">
      <c r="A141" s="3" t="inlineStr">
        <is>
          <t>S-140</t>
        </is>
      </c>
      <c r="B141" s="3" t="inlineStr"/>
      <c r="C141" s="3" t="inlineStr">
        <is>
          <t>NOT_RETAINED</t>
        </is>
      </c>
      <c r="D141" s="3" t="inlineStr">
        <is>
          <t>Eligible/possibly eligible item beyond the fixed 25-item elicited-source cap; retained in the screening log, not counted as a duplicate or failure.</t>
        </is>
      </c>
      <c r="E141" s="5" t="inlineStr">
        <is>
          <t>https://github.com/zlfben/autotap/blob/master/data/Data%20-%20User%20Study%201.xlsx</t>
        </is>
      </c>
      <c r="F141" s="3" t="inlineStr">
        <is>
          <t>Result sheet, Excel row 8, column BV (header 8_Q25, statement 8)</t>
        </is>
      </c>
      <c r="G141" s="3" t="inlineStr">
        <is>
          <t>Turn the TV off after I go to bed if it isn't already off.</t>
        </is>
      </c>
    </row>
    <row r="142" ht="45" customHeight="1">
      <c r="A142" s="3" t="inlineStr">
        <is>
          <t>S-141</t>
        </is>
      </c>
      <c r="B142" s="3" t="inlineStr"/>
      <c r="C142" s="3" t="inlineStr">
        <is>
          <t>NOT_RETAINED</t>
        </is>
      </c>
      <c r="D142" s="3" t="inlineStr">
        <is>
          <t>Eligible/possibly eligible item beyond the fixed 25-item elicited-source cap; retained in the screening log, not counted as a duplicate or failure.</t>
        </is>
      </c>
      <c r="E142" s="5" t="inlineStr">
        <is>
          <t>https://github.com/zlfben/autotap/blob/master/data/Data%20-%20User%20Study%201.xlsx</t>
        </is>
      </c>
      <c r="F142" s="3" t="inlineStr">
        <is>
          <t>Result sheet, Excel row 9, column AM (header 1_Q25, statement 1)</t>
        </is>
      </c>
      <c r="G142" s="3" t="inlineStr">
        <is>
          <t>the smart cameras motion detection feature should never fail.</t>
        </is>
      </c>
    </row>
    <row r="143" ht="45" customHeight="1">
      <c r="A143" s="3" t="inlineStr">
        <is>
          <t>S-142</t>
        </is>
      </c>
      <c r="B143" s="3" t="inlineStr"/>
      <c r="C143" s="3" t="inlineStr">
        <is>
          <t>NOT_RETAINED</t>
        </is>
      </c>
      <c r="D143" s="3" t="inlineStr">
        <is>
          <t>Eligible/possibly eligible item beyond the fixed 25-item elicited-source cap; retained in the screening log, not counted as a duplicate or failure.</t>
        </is>
      </c>
      <c r="E143" s="5" t="inlineStr">
        <is>
          <t>https://github.com/zlfben/autotap/blob/master/data/Data%20-%20User%20Study%201.xlsx</t>
        </is>
      </c>
      <c r="F143" s="3" t="inlineStr">
        <is>
          <t>Result sheet, Excel row 9, column AR (header 2_Q25, statement 2)</t>
        </is>
      </c>
      <c r="G143" s="3" t="inlineStr">
        <is>
          <t>the smart coffee maker should come on every morning</t>
        </is>
      </c>
    </row>
    <row r="144" ht="45" customHeight="1">
      <c r="A144" s="3" t="inlineStr">
        <is>
          <t>S-143</t>
        </is>
      </c>
      <c r="B144" s="3" t="inlineStr"/>
      <c r="C144" s="3" t="inlineStr">
        <is>
          <t>NOT_RETAINED</t>
        </is>
      </c>
      <c r="D144" s="3" t="inlineStr">
        <is>
          <t>Eligible/possibly eligible item beyond the fixed 25-item elicited-source cap; retained in the screening log, not counted as a duplicate or failure.</t>
        </is>
      </c>
      <c r="E144" s="5" t="inlineStr">
        <is>
          <t>https://github.com/zlfben/autotap/blob/master/data/Data%20-%20User%20Study%201.xlsx</t>
        </is>
      </c>
      <c r="F144" s="3" t="inlineStr">
        <is>
          <t>Result sheet, Excel row 9, column AW (header 3_Q25, statement 3)</t>
        </is>
      </c>
      <c r="G144" s="3" t="inlineStr">
        <is>
          <t>the smart blinds should close themselves when it is very sunny outside</t>
        </is>
      </c>
    </row>
    <row r="145" ht="45" customHeight="1">
      <c r="A145" s="3" t="inlineStr">
        <is>
          <t>S-144</t>
        </is>
      </c>
      <c r="B145" s="3" t="inlineStr"/>
      <c r="C145" s="3" t="inlineStr">
        <is>
          <t>NOT_RETAINED</t>
        </is>
      </c>
      <c r="D145" s="3" t="inlineStr">
        <is>
          <t>Eligible/possibly eligible item beyond the fixed 25-item elicited-source cap; retained in the screening log, not counted as a duplicate or failure.</t>
        </is>
      </c>
      <c r="E145" s="5" t="inlineStr">
        <is>
          <t>https://github.com/zlfben/autotap/blob/master/data/Data%20-%20User%20Study%201.xlsx</t>
        </is>
      </c>
      <c r="F145" s="3" t="inlineStr">
        <is>
          <t>Result sheet, Excel row 9, column BB (header 4_Q25, statement 4)</t>
        </is>
      </c>
      <c r="G145" s="3" t="inlineStr">
        <is>
          <t>the smart refrigerator should never go above 40 degrees</t>
        </is>
      </c>
    </row>
    <row r="146" ht="45" customHeight="1">
      <c r="A146" s="3" t="inlineStr">
        <is>
          <t>S-145</t>
        </is>
      </c>
      <c r="B146" s="3" t="inlineStr"/>
      <c r="C146" s="3" t="inlineStr">
        <is>
          <t>NOT_RETAINED</t>
        </is>
      </c>
      <c r="D146" s="3" t="inlineStr">
        <is>
          <t>Eligible/possibly eligible item beyond the fixed 25-item elicited-source cap; retained in the screening log, not counted as a duplicate or failure.</t>
        </is>
      </c>
      <c r="E146" s="5" t="inlineStr">
        <is>
          <t>https://github.com/zlfben/autotap/blob/master/data/Data%20-%20User%20Study%201.xlsx</t>
        </is>
      </c>
      <c r="F146" s="3" t="inlineStr">
        <is>
          <t>Result sheet, Excel row 9, column BG (header 5_Q25, statement 5)</t>
        </is>
      </c>
      <c r="G146" s="3" t="inlineStr">
        <is>
          <t>the smart door luck should always recognize my fingerprint</t>
        </is>
      </c>
    </row>
    <row r="147" ht="45" customHeight="1">
      <c r="A147" s="3" t="inlineStr">
        <is>
          <t>S-146</t>
        </is>
      </c>
      <c r="B147" s="3" t="inlineStr"/>
      <c r="C147" s="3" t="inlineStr">
        <is>
          <t>NOT_RETAINED</t>
        </is>
      </c>
      <c r="D147" s="3" t="inlineStr">
        <is>
          <t>Eligible/possibly eligible item beyond the fixed 25-item elicited-source cap; retained in the screening log, not counted as a duplicate or failure.</t>
        </is>
      </c>
      <c r="E147" s="5" t="inlineStr">
        <is>
          <t>https://github.com/zlfben/autotap/blob/master/data/Data%20-%20User%20Study%201.xlsx</t>
        </is>
      </c>
      <c r="F147" s="3" t="inlineStr">
        <is>
          <t>Result sheet, Excel row 9, column BL (header 6_Q25, statement 6)</t>
        </is>
      </c>
      <c r="G147" s="3" t="inlineStr">
        <is>
          <t>the smart door lock should never give a false positive for a fingerprint that isnt mine</t>
        </is>
      </c>
    </row>
    <row r="148" ht="45" customHeight="1">
      <c r="A148" s="3" t="inlineStr">
        <is>
          <t>S-147</t>
        </is>
      </c>
      <c r="B148" s="3" t="inlineStr"/>
      <c r="C148" s="3" t="inlineStr">
        <is>
          <t>NOT_RETAINED</t>
        </is>
      </c>
      <c r="D148" s="3" t="inlineStr">
        <is>
          <t>Eligible/possibly eligible item beyond the fixed 25-item elicited-source cap; retained in the screening log, not counted as a duplicate or failure.</t>
        </is>
      </c>
      <c r="E148" s="5" t="inlineStr">
        <is>
          <t>https://github.com/zlfben/autotap/blob/master/data/Data%20-%20User%20Study%201.xlsx</t>
        </is>
      </c>
      <c r="F148" s="3" t="inlineStr">
        <is>
          <t>Result sheet, Excel row 9, column BQ (header 7_Q25, statement 7)</t>
        </is>
      </c>
      <c r="G148" s="3" t="inlineStr">
        <is>
          <t>the smart vaccuum should devise a path that cleans all floor surfaces every time.</t>
        </is>
      </c>
    </row>
    <row r="149" ht="45" customHeight="1">
      <c r="A149" s="3" t="inlineStr">
        <is>
          <t>S-148</t>
        </is>
      </c>
      <c r="B149" s="3" t="inlineStr"/>
      <c r="C149" s="3" t="inlineStr">
        <is>
          <t>NOT_RETAINED</t>
        </is>
      </c>
      <c r="D149" s="3" t="inlineStr">
        <is>
          <t>Eligible/possibly eligible item beyond the fixed 25-item elicited-source cap; retained in the screening log, not counted as a duplicate or failure.</t>
        </is>
      </c>
      <c r="E149" s="5" t="inlineStr">
        <is>
          <t>https://github.com/zlfben/autotap/blob/master/data/Data%20-%20User%20Study%201.xlsx</t>
        </is>
      </c>
      <c r="F149" s="3" t="inlineStr">
        <is>
          <t>Result sheet, Excel row 9, column BV (header 8_Q25, statement 8)</t>
        </is>
      </c>
      <c r="G149" s="3" t="inlineStr">
        <is>
          <t>the smart lawn mower should figure a way to mow my entire yard</t>
        </is>
      </c>
    </row>
    <row r="150" ht="45" customHeight="1">
      <c r="A150" s="3" t="inlineStr">
        <is>
          <t>S-149</t>
        </is>
      </c>
      <c r="B150" s="3" t="inlineStr"/>
      <c r="C150" s="3" t="inlineStr">
        <is>
          <t>NOT_RETAINED</t>
        </is>
      </c>
      <c r="D150" s="3" t="inlineStr">
        <is>
          <t>Eligible/possibly eligible item beyond the fixed 25-item elicited-source cap; retained in the screening log, not counted as a duplicate or failure.</t>
        </is>
      </c>
      <c r="E150" s="5" t="inlineStr">
        <is>
          <t>https://github.com/zlfben/autotap/blob/master/data/Data%20-%20User%20Study%201.xlsx</t>
        </is>
      </c>
      <c r="F150" s="3" t="inlineStr">
        <is>
          <t>Result sheet, Excel row 9, column CA (header 9_Q25, statement 9)</t>
        </is>
      </c>
      <c r="G150" s="3" t="inlineStr">
        <is>
          <t>my smart washing machine should never use an inadequate washing cycle</t>
        </is>
      </c>
    </row>
    <row r="151" ht="45" customHeight="1">
      <c r="A151" s="3" t="inlineStr">
        <is>
          <t>S-150</t>
        </is>
      </c>
      <c r="B151" s="3" t="inlineStr"/>
      <c r="C151" s="3" t="inlineStr">
        <is>
          <t>NOT_RETAINED</t>
        </is>
      </c>
      <c r="D151" s="3" t="inlineStr">
        <is>
          <t>Eligible/possibly eligible item beyond the fixed 25-item elicited-source cap; retained in the screening log, not counted as a duplicate or failure.</t>
        </is>
      </c>
      <c r="E151" s="5" t="inlineStr">
        <is>
          <t>https://github.com/zlfben/autotap/blob/master/data/Data%20-%20User%20Study%201.xlsx</t>
        </is>
      </c>
      <c r="F151" s="3" t="inlineStr">
        <is>
          <t>Result sheet, Excel row 9, column CF (header 10_Q25, statement 10)</t>
        </is>
      </c>
      <c r="G151" s="3" t="inlineStr">
        <is>
          <t>my smart tv should never fail to record shows that I specify.</t>
        </is>
      </c>
    </row>
  </sheetData>
  <autoFilter ref="A1:G151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15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6" t="inlineStr">
        <is>
          <t>Field / code</t>
        </is>
      </c>
      <c r="B1" s="6" t="inlineStr">
        <is>
          <t>Meaning</t>
        </is>
      </c>
    </row>
    <row r="2">
      <c r="A2" s="3" t="inlineStr">
        <is>
          <t>IN_SCOPE</t>
        </is>
      </c>
      <c r="B2" s="3" t="inlineStr">
        <is>
          <t>Reactive-temporal smart-home behavior with fixable assumptions.</t>
        </is>
      </c>
    </row>
    <row r="3">
      <c r="A3" s="3" t="inlineStr">
        <is>
          <t>AMBIGUOUS</t>
        </is>
      </c>
      <c r="B3" s="3" t="inlineStr">
        <is>
          <t>Behavior-defining source ambiguity; no IR before user decision.</t>
        </is>
      </c>
    </row>
    <row r="4">
      <c r="A4" s="3" t="inlineStr">
        <is>
          <t>OUT_OF_SCOPE</t>
        </is>
      </c>
      <c r="B4" s="3" t="inlineStr">
        <is>
          <t>Real source item outside the E1 smart-home automation unit.</t>
        </is>
      </c>
    </row>
    <row r="5">
      <c r="A5" s="3" t="inlineStr">
        <is>
          <t>UNMATCHED</t>
        </is>
      </c>
      <c r="B5" s="3" t="inlineStr">
        <is>
          <t>Clear requirement blocked by current catalog/backend, not automatically an IR failure.</t>
        </is>
      </c>
    </row>
    <row r="6">
      <c r="A6" s="3" t="inlineStr">
        <is>
          <t>R1–R10 / B1–B5</t>
        </is>
      </c>
      <c r="B6" s="3" t="inlineStr">
        <is>
          <t>Use definitions in repository E1 README.md.</t>
        </is>
      </c>
    </row>
    <row r="7">
      <c r="A7" s="3" t="inlineStr">
        <is>
          <t>L-ACCUM</t>
        </is>
      </c>
      <c r="B7" s="3" t="inlineStr">
        <is>
          <t>Provisional internal-accumulation boundary hypothesis.</t>
        </is>
      </c>
    </row>
    <row r="8">
      <c r="A8" s="3" t="inlineStr">
        <is>
          <t>rb_preliminary</t>
        </is>
      </c>
      <c r="B8" s="3" t="inlineStr">
        <is>
          <t>Machine-assisted first pass; never report as adjudicated coding.</t>
        </is>
      </c>
    </row>
    <row r="9">
      <c r="A9" s="3" t="inlineStr">
        <is>
          <t>rb_adjudicated</t>
        </is>
      </c>
      <c r="B9" s="3" t="inlineStr">
        <is>
          <t>The author's R/B labels (single author; column name kept for compatibility).</t>
        </is>
      </c>
    </row>
    <row r="10">
      <c r="A10" s="3" t="inlineStr">
        <is>
          <t>duplicate_family</t>
        </is>
      </c>
      <c r="B10" s="3" t="inlineStr">
        <is>
          <t>Verified duplicate group under protocol §2; empty for all 100 (no retained duplicate).</t>
        </is>
      </c>
    </row>
    <row r="11">
      <c r="A11" s="3" t="inlineStr">
        <is>
          <t>topic_family</t>
        </is>
      </c>
      <c r="B11" s="3" t="inlineStr">
        <is>
          <t>Similar-topic group; not a duplicate mark.</t>
        </is>
      </c>
    </row>
    <row r="12">
      <c r="A12" s="3" t="inlineStr">
        <is>
          <t>trigger_class / temporal_class / control_class / memory_class / action_cardinality / lifetime</t>
        </is>
      </c>
      <c r="B12" s="3" t="inlineStr">
        <is>
          <t>Preliminary machine-assisted descriptors. Only the corrections the author stated on 2026-09-13 were applied; they are not reconciled with rb_adjudicated and are not used in any statistic.</t>
        </is>
      </c>
    </row>
    <row r="13">
      <c r="A13" s="3" t="inlineStr">
        <is>
          <t>text_form</t>
        </is>
      </c>
      <c r="B13" s="3" t="inlineStr">
        <is>
          <t>Whether text is verbatim, source-extracted, or researcher-normalized.</t>
        </is>
      </c>
    </row>
    <row r="14">
      <c r="A14" s="3" t="inlineStr">
        <is>
          <t>completed_seed</t>
        </is>
      </c>
      <c r="B14" s="3" t="inlineStr">
        <is>
          <t>One of the existing 12 depth cases.</t>
        </is>
      </c>
    </row>
    <row r="15">
      <c r="A15" s="3" t="inlineStr">
        <is>
          <t>proposed_depth_addition</t>
        </is>
      </c>
      <c r="B15" s="3" t="inlineStr">
        <is>
          <t>One of the eight new depth cases (final selection; value name kept for file compatibility). Results: depth/RESULTS.md.</t>
        </is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2026-09-13T14:57:19Z</dcterms:created>
  <dcterms:modified xmlns:dcterms="http://purl.org/dc/terms/" xmlns:xsi="http://www.w3.org/2001/XMLSchema-instance" xsi:type="dcterms:W3CDTF">2026-09-13T14:57:19Z</dcterms:modified>
</cp:coreProperties>
</file>